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425"/>
  <workbookPr codeName="ThisWorkbook"/>
  <mc:AlternateContent xmlns:mc="http://schemas.openxmlformats.org/markup-compatibility/2006">
    <mc:Choice Requires="x15">
      <x15ac:absPath xmlns:x15ac="http://schemas.microsoft.com/office/spreadsheetml/2010/11/ac" url="https://d.docs.live.net/1bc3657cdf8c59e5/Documents/"/>
    </mc:Choice>
  </mc:AlternateContent>
  <xr:revisionPtr revIDLastSave="1195" documentId="8_{E2A6EC2D-882D-4D2B-B806-2E7C44880F54}" xr6:coauthVersionLast="43" xr6:coauthVersionMax="43" xr10:uidLastSave="{15791AF8-F268-4EE1-8A37-03B2C3800A16}"/>
  <bookViews>
    <workbookView xWindow="-96" yWindow="-96" windowWidth="23232" windowHeight="12552" activeTab="5" xr2:uid="{00000000-000D-0000-FFFF-FFFF00000000}"/>
  </bookViews>
  <sheets>
    <sheet name="Startup Expenses" sheetId="1" r:id="rId1"/>
    <sheet name="Revenue Estimate" sheetId="9" r:id="rId2"/>
    <sheet name="Event Schedule" sheetId="2" r:id="rId3"/>
    <sheet name="Product Cost" sheetId="8" r:id="rId4"/>
    <sheet name="Sheet1" sheetId="13" r:id="rId5"/>
    <sheet name="Sheet2" sheetId="14" r:id="rId6"/>
    <sheet name="Sheet3" sheetId="15" r:id="rId7"/>
    <sheet name="Product Sales Cost" sheetId="5" r:id="rId8"/>
    <sheet name="Partnerships" sheetId="12" r:id="rId9"/>
    <sheet name="Sales data" sheetId="11" r:id="rId10"/>
    <sheet name="Marketing Schedule" sheetId="6" r:id="rId11"/>
    <sheet name="Influencer" sheetId="7" r:id="rId12"/>
    <sheet name="Sales Funnel" sheetId="3" r:id="rId13"/>
    <sheet name="MFG &amp; Import Costs" sheetId="4" r:id="rId14"/>
  </sheets>
  <definedNames>
    <definedName name="_xlnm.Print_Area" localSheetId="0">'Startup Expenses'!$B$1:$D$125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21" i="13" l="1"/>
  <c r="D19" i="13"/>
  <c r="D17" i="13"/>
  <c r="D15" i="13"/>
  <c r="D13" i="13"/>
  <c r="D11" i="13"/>
  <c r="D32" i="15"/>
  <c r="D30" i="15"/>
  <c r="D28" i="15"/>
  <c r="D15" i="15"/>
  <c r="D13" i="15"/>
  <c r="D11" i="15"/>
  <c r="D8" i="15"/>
  <c r="D23" i="13"/>
  <c r="B13" i="8" l="1"/>
  <c r="K13" i="8" s="1"/>
  <c r="B12" i="8"/>
  <c r="K12" i="8" s="1"/>
  <c r="D25" i="13" l="1"/>
  <c r="D28" i="13" s="1"/>
  <c r="D23" i="1"/>
  <c r="B9" i="15" l="1"/>
  <c r="D18" i="15" s="1"/>
  <c r="D35" i="15" s="1"/>
  <c r="D116" i="1"/>
  <c r="D20" i="15" l="1"/>
  <c r="D37" i="15" s="1"/>
  <c r="D44" i="15" s="1"/>
  <c r="D51" i="15" s="1"/>
  <c r="D22" i="15"/>
  <c r="D39" i="15" s="1"/>
  <c r="D46" i="15" s="1"/>
  <c r="D42" i="15"/>
  <c r="D49" i="15" s="1"/>
  <c r="D106" i="1"/>
  <c r="D107" i="1"/>
  <c r="D56" i="15" l="1"/>
  <c r="D58" i="15"/>
  <c r="D53" i="15"/>
  <c r="D60" i="15" s="1"/>
  <c r="D61" i="1"/>
  <c r="D105" i="1" s="1"/>
  <c r="D56" i="1"/>
  <c r="D104" i="1" s="1"/>
  <c r="D48" i="1"/>
  <c r="D103" i="1" s="1"/>
  <c r="D40" i="1"/>
  <c r="D102" i="1" s="1"/>
  <c r="D31" i="1"/>
  <c r="D101" i="1" s="1"/>
  <c r="D100" i="1"/>
  <c r="D75" i="1"/>
  <c r="D93" i="1" s="1"/>
  <c r="D13" i="1" l="1"/>
  <c r="D99" i="1" s="1"/>
  <c r="D108" i="1" s="1"/>
  <c r="D87" i="1"/>
  <c r="D95" i="1" s="1"/>
  <c r="D82" i="1"/>
  <c r="D94" i="1" s="1"/>
  <c r="D9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 N</author>
  </authors>
  <commentList>
    <comment ref="C2" authorId="0" shapeId="0" xr:uid="{304FF1A8-97FB-47B9-ACA2-05F2E0A360C5}">
      <text>
        <r>
          <rPr>
            <b/>
            <sz val="9"/>
            <color indexed="81"/>
            <rFont val="Tahoma"/>
            <family val="2"/>
          </rPr>
          <t>Tom N:</t>
        </r>
        <r>
          <rPr>
            <sz val="9"/>
            <color indexed="81"/>
            <rFont val="Tahoma"/>
            <family val="2"/>
          </rPr>
          <t xml:space="preserve">
Cost to create Protoypes &amp; ship to Brand
</t>
        </r>
      </text>
    </comment>
    <comment ref="D2" authorId="0" shapeId="0" xr:uid="{C67886CA-D73F-4DB6-8266-DE83E40463C2}">
      <text>
        <r>
          <rPr>
            <b/>
            <sz val="9"/>
            <color indexed="81"/>
            <rFont val="Tahoma"/>
            <family val="2"/>
          </rPr>
          <t>Tom N:</t>
        </r>
        <r>
          <rPr>
            <sz val="9"/>
            <color indexed="81"/>
            <rFont val="Tahoma"/>
            <family val="2"/>
          </rPr>
          <t xml:space="preserve">
Cost to Manufacture &amp; Import Inventory
</t>
        </r>
      </text>
    </comment>
    <comment ref="E2" authorId="0" shapeId="0" xr:uid="{006986D7-54F2-4ECD-A465-3CCF0CB1006F}">
      <text>
        <r>
          <rPr>
            <b/>
            <sz val="9"/>
            <color indexed="81"/>
            <rFont val="Tahoma"/>
            <family val="2"/>
          </rPr>
          <t>Fee associated with CC Payment Processsing</t>
        </r>
      </text>
    </comment>
    <comment ref="F2" authorId="0" shapeId="0" xr:uid="{114E3C0E-1E68-4C3C-8E01-FE9C464B6224}">
      <text>
        <r>
          <rPr>
            <b/>
            <sz val="9"/>
            <color indexed="81"/>
            <rFont val="Tahoma"/>
            <family val="2"/>
          </rPr>
          <t>Tom N:</t>
        </r>
        <r>
          <rPr>
            <sz val="9"/>
            <color indexed="81"/>
            <rFont val="Tahoma"/>
            <family val="2"/>
          </rPr>
          <t xml:space="preserve">
Price to use the site</t>
        </r>
      </text>
    </comment>
  </commentList>
</comments>
</file>

<file path=xl/sharedStrings.xml><?xml version="1.0" encoding="utf-8"?>
<sst xmlns="http://schemas.openxmlformats.org/spreadsheetml/2006/main" count="495" uniqueCount="342">
  <si>
    <t>SOURCES OF CAPITAL</t>
  </si>
  <si>
    <t>Other investor</t>
  </si>
  <si>
    <t>Bank 1</t>
  </si>
  <si>
    <t>Bank 2</t>
  </si>
  <si>
    <t>Bank 3</t>
  </si>
  <si>
    <t>Bank 4</t>
  </si>
  <si>
    <t>Source 1</t>
  </si>
  <si>
    <t>Source 2</t>
  </si>
  <si>
    <t>STARTUP EXPENSES</t>
  </si>
  <si>
    <t>Other</t>
  </si>
  <si>
    <t>Fixtures</t>
  </si>
  <si>
    <t>Machinery</t>
  </si>
  <si>
    <t>Rental</t>
  </si>
  <si>
    <t>Utility deposits</t>
  </si>
  <si>
    <t>Legal and accounting fees</t>
  </si>
  <si>
    <t>Prepaid insurance</t>
  </si>
  <si>
    <t xml:space="preserve">Pre-opening salaries </t>
  </si>
  <si>
    <t>Category 4</t>
  </si>
  <si>
    <t>Category 5</t>
  </si>
  <si>
    <t>Advertising</t>
  </si>
  <si>
    <t>Signage</t>
  </si>
  <si>
    <t>Printing</t>
  </si>
  <si>
    <t>Travel/entertainment</t>
  </si>
  <si>
    <t>Other/additional categories</t>
  </si>
  <si>
    <t>Other expense 1</t>
  </si>
  <si>
    <t>Other expense 2</t>
  </si>
  <si>
    <t>Reserve for Contingencies</t>
  </si>
  <si>
    <t xml:space="preserve">Working Capital </t>
  </si>
  <si>
    <t>SUMMARY STATEMENT</t>
  </si>
  <si>
    <t>Owners' and other investments</t>
  </si>
  <si>
    <t>Bank loans</t>
  </si>
  <si>
    <t>Other loans</t>
  </si>
  <si>
    <t>Buildings/real estate</t>
  </si>
  <si>
    <t>Leasehold improvements</t>
  </si>
  <si>
    <t>Capital equipment</t>
  </si>
  <si>
    <t>Location/administration expenses</t>
  </si>
  <si>
    <t>Opening inventory</t>
  </si>
  <si>
    <t>Advertising/promotional expenses</t>
  </si>
  <si>
    <t>Other expenses</t>
  </si>
  <si>
    <t>Contingency fund</t>
  </si>
  <si>
    <t>Working capital</t>
  </si>
  <si>
    <t>SECURITY AND COLLATERAL FOR LOAN PROPOSAL</t>
  </si>
  <si>
    <t>Real estate</t>
  </si>
  <si>
    <t>Other collateral</t>
  </si>
  <si>
    <t>Loan guarantor 1</t>
  </si>
  <si>
    <t>Loan guarantor 2</t>
  </si>
  <si>
    <t>Loan guarantor 3</t>
  </si>
  <si>
    <t>Total</t>
  </si>
  <si>
    <t>SOURCE OF CAPITAL</t>
  </si>
  <si>
    <t>CAPITAL EQUIPMENT LIST</t>
  </si>
  <si>
    <t>LOCATION AND ADMIN EXPENSES</t>
  </si>
  <si>
    <t>OPENING INVENTORY</t>
  </si>
  <si>
    <t>ADVERTISING AND PROMOTIONAL EXPENSES</t>
  </si>
  <si>
    <t>OTHER EXPENSES</t>
  </si>
  <si>
    <t>BANK LOANS</t>
  </si>
  <si>
    <t>OTHER LOANS</t>
  </si>
  <si>
    <t>COLLATERAL FOR LOANS</t>
  </si>
  <si>
    <t>OWNERS</t>
  </si>
  <si>
    <t>LOAN GUARANTORS (OTHER THAN OWNERS)</t>
  </si>
  <si>
    <t xml:space="preserve"> </t>
  </si>
  <si>
    <t xml:space="preserve">  </t>
  </si>
  <si>
    <t>DESCRIPTION</t>
  </si>
  <si>
    <t>VALUE</t>
  </si>
  <si>
    <t>TOTALS</t>
  </si>
  <si>
    <t>AMOUNT</t>
  </si>
  <si>
    <r>
      <rPr>
        <sz val="10"/>
        <color theme="4" tint="-0.499984740745262"/>
        <rFont val="Georgia"/>
        <family val="1"/>
        <scheme val="major"/>
      </rPr>
      <t>ADD A RESERVE FOR CONTINGENCIES</t>
    </r>
    <r>
      <rPr>
        <sz val="10"/>
        <color theme="4" tint="-0.499984740745262"/>
        <rFont val="Arial"/>
        <family val="2"/>
        <scheme val="minor"/>
      </rPr>
      <t xml:space="preserve">
</t>
    </r>
    <r>
      <rPr>
        <sz val="9"/>
        <color theme="4" tint="-0.499984740745262"/>
        <rFont val="Arial"/>
        <family val="2"/>
        <scheme val="minor"/>
      </rPr>
      <t xml:space="preserve">Be sure to explain in your narrative how you decided on the amount you are putting into this reserve. </t>
    </r>
    <r>
      <rPr>
        <sz val="10"/>
        <color theme="4" tint="-0.499984740745262"/>
        <rFont val="Arial"/>
        <family val="2"/>
        <scheme val="minor"/>
      </rPr>
      <t xml:space="preserve">
</t>
    </r>
    <r>
      <rPr>
        <sz val="10"/>
        <color theme="4" tint="-0.499984740745262"/>
        <rFont val="Georgia"/>
        <family val="1"/>
        <scheme val="major"/>
      </rPr>
      <t>DETERMINE YOUR CASH FLOW</t>
    </r>
    <r>
      <rPr>
        <sz val="10"/>
        <color theme="4" tint="-0.499984740745262"/>
        <rFont val="Arial"/>
        <family val="2"/>
        <scheme val="minor"/>
      </rPr>
      <t xml:space="preserve">
</t>
    </r>
    <r>
      <rPr>
        <sz val="9"/>
        <color theme="4" tint="-0.499984740745262"/>
        <rFont val="Arial"/>
        <family val="2"/>
        <scheme val="minor"/>
      </rPr>
      <t>You cannot open with an empty bank account. You need a cash cushion to meet expenses while the business gets going. Eventually you should do a 12-month cash flow projection. This is where you will work out your estimate of working capital needs. For now, either leave this line blank or put in your best rough guess. After you have completed your cash flow, you can come back and enter the carefully researched amount.</t>
    </r>
    <r>
      <rPr>
        <sz val="10"/>
        <color theme="4" tint="-0.499984740745262"/>
        <rFont val="Arial"/>
        <family val="2"/>
        <scheme val="minor"/>
      </rPr>
      <t xml:space="preserve">
</t>
    </r>
    <r>
      <rPr>
        <sz val="10"/>
        <color theme="4" tint="-0.499984740745262"/>
        <rFont val="Georgia"/>
        <family val="1"/>
        <scheme val="major"/>
      </rPr>
      <t>ENTER YOUR SOURCES OF CAPITAL</t>
    </r>
    <r>
      <rPr>
        <sz val="10"/>
        <color theme="4" tint="-0.499984740745262"/>
        <rFont val="Arial"/>
        <family val="2"/>
        <scheme val="minor"/>
      </rPr>
      <t xml:space="preserve">
</t>
    </r>
    <r>
      <rPr>
        <sz val="9"/>
        <color theme="4" tint="-0.499984740745262"/>
        <rFont val="Arial"/>
        <family val="2"/>
        <scheme val="minor"/>
      </rPr>
      <t>Now that you have estimated how much capital will be needed to start, you should turn your attention to the top part of this worksheet. Enter the amounts you will put in yourself, how much will be injected by partners or investors, and how much will be supplied by borrowing.</t>
    </r>
  </si>
  <si>
    <r>
      <rPr>
        <sz val="10"/>
        <color theme="4" tint="-0.499984740745262"/>
        <rFont val="Georgia"/>
        <family val="1"/>
        <scheme val="major"/>
      </rPr>
      <t>A NOTE BEFORE USING THIS WORKSHEET</t>
    </r>
    <r>
      <rPr>
        <sz val="10"/>
        <color theme="4" tint="-0.499984740745262"/>
        <rFont val="Arial"/>
        <family val="2"/>
        <scheme val="minor"/>
      </rPr>
      <t xml:space="preserve">
</t>
    </r>
    <r>
      <rPr>
        <sz val="9"/>
        <color theme="4" tint="-0.499984740745262"/>
        <rFont val="Arial"/>
        <family val="2"/>
        <scheme val="minor"/>
      </rPr>
      <t>Nearly everyone who has ever started a business has underestimated costs and then faced the danger of running with inadequate capital reserves. The key to avoiding this pitfall is to adopt a rigorous approach to your research and planning. Our Startup Expenses template will guide you through the process.</t>
    </r>
    <r>
      <rPr>
        <sz val="10"/>
        <color theme="4" tint="-0.499984740745262"/>
        <rFont val="Arial"/>
        <family val="2"/>
        <scheme val="minor"/>
      </rPr>
      <t xml:space="preserve">
</t>
    </r>
    <r>
      <rPr>
        <sz val="10"/>
        <color theme="4" tint="-0.499984740745262"/>
        <rFont val="Georgia"/>
        <family val="1"/>
        <scheme val="major"/>
      </rPr>
      <t>BEGIN BY ESTIMATING EXPENSES</t>
    </r>
    <r>
      <rPr>
        <sz val="10"/>
        <color theme="4" tint="-0.499984740745262"/>
        <rFont val="Arial"/>
        <family val="2"/>
        <scheme val="minor"/>
      </rPr>
      <t xml:space="preserve">
</t>
    </r>
    <r>
      <rPr>
        <sz val="9"/>
        <color theme="4" tint="-0.499984740745262"/>
        <rFont val="Arial"/>
        <family val="2"/>
        <scheme val="minor"/>
      </rPr>
      <t xml:space="preserve">What will it cost you to get your business up and running?  The key to accuracy here is attention to detail. For each category of expense, draw up a list of everything you will need to purchase. This will include both tangible assets (for example, equipment, inventory) and services (for example, remodeling, insurance). Then determine where you might purchase these goods or services. Research more than one vendor; i.e.: comparison shop. Do not look at price alone; terms of payment, delivery, reliability, and service are also important. </t>
    </r>
  </si>
  <si>
    <r>
      <rPr>
        <sz val="10"/>
        <color theme="4" tint="-0.499984740745262"/>
        <rFont val="Georgia"/>
        <family val="1"/>
        <scheme val="major"/>
      </rPr>
      <t>PROVIDE PROOF OF COLLATERAL</t>
    </r>
    <r>
      <rPr>
        <sz val="10"/>
        <color theme="4" tint="-0.499984740745262"/>
        <rFont val="Arial"/>
        <family val="2"/>
        <scheme val="minor"/>
      </rPr>
      <t xml:space="preserve">
</t>
    </r>
    <r>
      <rPr>
        <sz val="9"/>
        <color theme="4" tint="-0.499984740745262"/>
        <rFont val="Arial"/>
        <family val="2"/>
        <scheme val="minor"/>
      </rPr>
      <t>If you will be using this plan to support a bank loan request, use the section near the bottom to show what assets are offered as collateral to secure the loan and estimate of the value of these items. Be prepared to offer some proof of your estimates of collateral values.</t>
    </r>
  </si>
  <si>
    <r>
      <t>OWNERS' INVESTMENT</t>
    </r>
    <r>
      <rPr>
        <sz val="9"/>
        <color theme="4" tint="-0.499984740745262"/>
        <rFont val="Arial"/>
        <family val="2"/>
        <scheme val="minor"/>
      </rPr>
      <t xml:space="preserve"> (NAME &amp; OWNERSHIP %)</t>
    </r>
  </si>
  <si>
    <t>MyHydrationPack</t>
  </si>
  <si>
    <t>Shopify</t>
  </si>
  <si>
    <t>Adobe Creative Cloud</t>
  </si>
  <si>
    <t>Licenses</t>
  </si>
  <si>
    <t>Website</t>
  </si>
  <si>
    <t>STARTUP EXPENSES (annual)</t>
  </si>
  <si>
    <t>URL: MyHydrationPack.com</t>
  </si>
  <si>
    <t>Michigan LLC</t>
  </si>
  <si>
    <t>Sales License</t>
  </si>
  <si>
    <t>Vending License</t>
  </si>
  <si>
    <t>Microsoft 365 1 TB One Drive</t>
  </si>
  <si>
    <t>Phone Service</t>
  </si>
  <si>
    <t>Internet Service</t>
  </si>
  <si>
    <t>Website, Software, Utilities, Rent</t>
  </si>
  <si>
    <t>Rent</t>
  </si>
  <si>
    <t>Trademark MyHydrationPack</t>
  </si>
  <si>
    <t>Product Insurance</t>
  </si>
  <si>
    <t>DBA</t>
  </si>
  <si>
    <t>Thomas Nalian</t>
  </si>
  <si>
    <t>Thomas Nalian and 100%</t>
  </si>
  <si>
    <t>Laptop</t>
  </si>
  <si>
    <t>2016 Volvos s60</t>
  </si>
  <si>
    <t>Baby Steps Hydration Packs</t>
  </si>
  <si>
    <t>MHP Fiber Optics Hydration pack</t>
  </si>
  <si>
    <t>Replacement Bladder</t>
  </si>
  <si>
    <t>Payee</t>
  </si>
  <si>
    <t>InventureX</t>
  </si>
  <si>
    <t>Service</t>
  </si>
  <si>
    <t xml:space="preserve">4/31/19 </t>
  </si>
  <si>
    <t>Start Date</t>
  </si>
  <si>
    <t>End Date</t>
  </si>
  <si>
    <t>Fiber Optic Crowdfunding Campaign Launch</t>
  </si>
  <si>
    <t xml:space="preserve">Event Funnel </t>
  </si>
  <si>
    <t>n/a</t>
  </si>
  <si>
    <t>Movement Vending @ Detroit Shipping Co.</t>
  </si>
  <si>
    <t>Business</t>
  </si>
  <si>
    <t>DanceSafe WLC</t>
  </si>
  <si>
    <t>LSDream</t>
  </si>
  <si>
    <t>Snails</t>
  </si>
  <si>
    <t>Bear Grillz</t>
  </si>
  <si>
    <t>IMF</t>
  </si>
  <si>
    <t>QTY</t>
  </si>
  <si>
    <t>cost</t>
  </si>
  <si>
    <t>Sale Price</t>
  </si>
  <si>
    <t>Revenue</t>
  </si>
  <si>
    <t>Sales Funnel</t>
  </si>
  <si>
    <t>Import Cost</t>
  </si>
  <si>
    <t>Fiber Optic Patent</t>
  </si>
  <si>
    <t>WLC</t>
  </si>
  <si>
    <t>Bladder</t>
  </si>
  <si>
    <t>Product Costs</t>
  </si>
  <si>
    <t>Vending</t>
  </si>
  <si>
    <t>Concert</t>
  </si>
  <si>
    <t>Charity</t>
  </si>
  <si>
    <t>Fair</t>
  </si>
  <si>
    <t>Race</t>
  </si>
  <si>
    <t>Event Costs / Opportunity [ # of Attendees]</t>
  </si>
  <si>
    <t>Channel</t>
  </si>
  <si>
    <t>Amazon</t>
  </si>
  <si>
    <t>Google</t>
  </si>
  <si>
    <t>FB MarketPlace</t>
  </si>
  <si>
    <t>E-Commerce Sales</t>
  </si>
  <si>
    <t>Shipping</t>
  </si>
  <si>
    <t>Payment Processing</t>
  </si>
  <si>
    <t>Est. Minimum Result</t>
  </si>
  <si>
    <t>Est. Maximum Result</t>
  </si>
  <si>
    <t>Actual Results</t>
  </si>
  <si>
    <t>Event</t>
  </si>
  <si>
    <t>Movement Music Festival</t>
  </si>
  <si>
    <t>Spring Awakening Music Festival</t>
  </si>
  <si>
    <t>Electric Forest Music Festival</t>
  </si>
  <si>
    <t>FO Pack Launch</t>
  </si>
  <si>
    <t>Opportunity (Attendence / Viewers)</t>
  </si>
  <si>
    <t>Additional Marketing Budget</t>
  </si>
  <si>
    <t>Marketing Goal</t>
  </si>
  <si>
    <t>Marketing Acticity</t>
  </si>
  <si>
    <t>Social Posts</t>
  </si>
  <si>
    <t>D-Town Designz Kyle</t>
  </si>
  <si>
    <t>Bass Country Grand Rapids</t>
  </si>
  <si>
    <t>3 / week give away to promote Features &amp; benefits</t>
  </si>
  <si>
    <t>Movement &amp; Spring Awakening Baby Steps GiveAway</t>
  </si>
  <si>
    <t>Massive Snails Event</t>
  </si>
  <si>
    <t>Start Cost</t>
  </si>
  <si>
    <t xml:space="preserve">MyHydrationPack, D2R, D-Town Designz, </t>
  </si>
  <si>
    <t>Team</t>
  </si>
  <si>
    <t>Marketing Activity</t>
  </si>
  <si>
    <t>Giveaway</t>
  </si>
  <si>
    <t>KPI</t>
  </si>
  <si>
    <t>DanceSafe</t>
  </si>
  <si>
    <t>Promote Brand, Partnership Importance of Hydration</t>
  </si>
  <si>
    <t>Movement Vending Baby Steps Sales</t>
  </si>
  <si>
    <t>Est. Marketing Cost</t>
  </si>
  <si>
    <t>Bracelet Giveaway @ Festival</t>
  </si>
  <si>
    <t>packs cost + shipping</t>
  </si>
  <si>
    <t>Festival Ticket + wristband + Food + Pack</t>
  </si>
  <si>
    <t>MHP, D-Town Designz Kyle</t>
  </si>
  <si>
    <t>D-Town Designz Kyle, D2R</t>
  </si>
  <si>
    <t>Est. Results</t>
  </si>
  <si>
    <t>Brand Recognition, Features &amp; Benefits, UGC</t>
  </si>
  <si>
    <t>Post Shares, Page Likes, Post Interaction with UGC</t>
  </si>
  <si>
    <t>FO Mailing List Signups, Baby Steps Sales, UGC</t>
  </si>
  <si>
    <t>Marketing Plan</t>
  </si>
  <si>
    <t>Influencer</t>
  </si>
  <si>
    <t>Protohype</t>
  </si>
  <si>
    <t>Dion Timmer</t>
  </si>
  <si>
    <t>Excision</t>
  </si>
  <si>
    <t>Dancesafe</t>
  </si>
  <si>
    <t>Fresh Music Freaks</t>
  </si>
  <si>
    <t>Who</t>
  </si>
  <si>
    <t>Type</t>
  </si>
  <si>
    <t>Goal</t>
  </si>
  <si>
    <t>Artist</t>
  </si>
  <si>
    <t>Greg Lillie</t>
  </si>
  <si>
    <t>Emily</t>
  </si>
  <si>
    <t>Kendall (DT G/F)</t>
  </si>
  <si>
    <t>Excision GF</t>
  </si>
  <si>
    <t>501c3</t>
  </si>
  <si>
    <t>Blog</t>
  </si>
  <si>
    <t>Dion Timmer GF</t>
  </si>
  <si>
    <t>Following</t>
  </si>
  <si>
    <t>Result</t>
  </si>
  <si>
    <t>Products</t>
  </si>
  <si>
    <t>Cost</t>
  </si>
  <si>
    <t>Product Cost</t>
  </si>
  <si>
    <t>Price / Unit</t>
  </si>
  <si>
    <t xml:space="preserve">Item </t>
  </si>
  <si>
    <t xml:space="preserve">Hydration pack </t>
  </si>
  <si>
    <t xml:space="preserve">Water bladder </t>
  </si>
  <si>
    <t xml:space="preserve">Cleaning kit set </t>
  </si>
  <si>
    <t>Water bladder</t>
  </si>
  <si>
    <t xml:space="preserve">Cleaning kit set  </t>
  </si>
  <si>
    <t xml:space="preserve"> Description</t>
  </si>
  <si>
    <t xml:space="preserve">Baby step hydration pack </t>
  </si>
  <si>
    <t xml:space="preserve">PEVA water bladder </t>
  </si>
  <si>
    <t xml:space="preserve">4 pcs per set cleaning kit </t>
  </si>
  <si>
    <t xml:space="preserve">4pcs per set cleaning kit  </t>
  </si>
  <si>
    <t xml:space="preserve">Qty         </t>
  </si>
  <si>
    <t xml:space="preserve">FOB(Xiamen)  </t>
  </si>
  <si>
    <t>Unit price</t>
  </si>
  <si>
    <t>Amount</t>
  </si>
  <si>
    <t>Total : $11,290.80</t>
  </si>
  <si>
    <t xml:space="preserve">Discount : 3% </t>
  </si>
  <si>
    <t>Express Shipping for 40</t>
  </si>
  <si>
    <t>Air Shipping to door</t>
  </si>
  <si>
    <t>Prototype</t>
  </si>
  <si>
    <t>Deposit</t>
  </si>
  <si>
    <t>Baby Steps Cleaning Bundle</t>
  </si>
  <si>
    <t>Hydration pack</t>
  </si>
  <si>
    <t>Cleaning Kit</t>
  </si>
  <si>
    <t>Import</t>
  </si>
  <si>
    <t xml:space="preserve">Price / SKU </t>
  </si>
  <si>
    <t>MHP Fiber Optic Pack</t>
  </si>
  <si>
    <t>MOQ QTY</t>
  </si>
  <si>
    <t>Products  Funnel</t>
  </si>
  <si>
    <t>LSDREAM</t>
  </si>
  <si>
    <t>Cost Range</t>
  </si>
  <si>
    <t>bladder</t>
  </si>
  <si>
    <t>Funnel Stage</t>
  </si>
  <si>
    <t>Days In Stage</t>
  </si>
  <si>
    <t>stage Start Date</t>
  </si>
  <si>
    <t>PA</t>
  </si>
  <si>
    <t>8660 - 15500</t>
  </si>
  <si>
    <t>8.66-12.5</t>
  </si>
  <si>
    <t>Cost/Unit</t>
  </si>
  <si>
    <t>CC Fees</t>
  </si>
  <si>
    <t>Adventure Club</t>
  </si>
  <si>
    <t>Bluetooth Controller</t>
  </si>
  <si>
    <t>Fiber Optic</t>
  </si>
  <si>
    <t>Power Bank</t>
  </si>
  <si>
    <t>Brand Royalty</t>
  </si>
  <si>
    <t>Charity Donation</t>
  </si>
  <si>
    <t>Discount</t>
  </si>
  <si>
    <t>Discounts</t>
  </si>
  <si>
    <t>5/519</t>
  </si>
  <si>
    <t xml:space="preserve">Kyle </t>
  </si>
  <si>
    <t>15% Of Sales</t>
  </si>
  <si>
    <t>Phiysical</t>
  </si>
  <si>
    <t>Movement</t>
  </si>
  <si>
    <t>paypal</t>
  </si>
  <si>
    <t>Price</t>
  </si>
  <si>
    <t>MSRP</t>
  </si>
  <si>
    <t>Channel Fee</t>
  </si>
  <si>
    <t>Partner Royalty</t>
  </si>
  <si>
    <t>Profit</t>
  </si>
  <si>
    <t>Point to Partner Table</t>
  </si>
  <si>
    <t>point to partner table</t>
  </si>
  <si>
    <t>slugtopia 3</t>
  </si>
  <si>
    <t>Inventory</t>
  </si>
  <si>
    <t>2L Baby Steps Hydration Pack Cleaning Kit Combo</t>
  </si>
  <si>
    <t>Quanity</t>
  </si>
  <si>
    <t>name</t>
  </si>
  <si>
    <t>type</t>
  </si>
  <si>
    <t>Percentage</t>
  </si>
  <si>
    <t>Product</t>
  </si>
  <si>
    <t>Chomped Creations</t>
  </si>
  <si>
    <t>Brand</t>
  </si>
  <si>
    <t>Baby Steps</t>
  </si>
  <si>
    <t>P</t>
  </si>
  <si>
    <t>MyHydrationPack.com</t>
  </si>
  <si>
    <t>Facebook</t>
  </si>
  <si>
    <t>Qty</t>
  </si>
  <si>
    <t>Site Fee</t>
  </si>
  <si>
    <t xml:space="preserve">Discount </t>
  </si>
  <si>
    <t>Payment Method</t>
  </si>
  <si>
    <t>BabySteps 2L Cleaning Kit Bundle</t>
  </si>
  <si>
    <t>Protoype</t>
  </si>
  <si>
    <t>Manufacture</t>
  </si>
  <si>
    <t>Channel / Merchant Fee</t>
  </si>
  <si>
    <t>Product Giveaway</t>
  </si>
  <si>
    <t>Sales Channel</t>
  </si>
  <si>
    <t>E-Commerce</t>
  </si>
  <si>
    <t>Affiliate</t>
  </si>
  <si>
    <t>revenue</t>
  </si>
  <si>
    <t>Import Price</t>
  </si>
  <si>
    <t>Option A</t>
  </si>
  <si>
    <t>Option B</t>
  </si>
  <si>
    <t>Option C</t>
  </si>
  <si>
    <t>Import Option</t>
  </si>
  <si>
    <t>Baby Steps 2lt HP</t>
  </si>
  <si>
    <t>Baby Steps 2lt HP FB</t>
  </si>
  <si>
    <t>bag</t>
  </si>
  <si>
    <t>units</t>
  </si>
  <si>
    <t>price</t>
  </si>
  <si>
    <t>Shipping / pack</t>
  </si>
  <si>
    <t>Shipping Cost</t>
  </si>
  <si>
    <t>Royalty %</t>
  </si>
  <si>
    <t>Royalty $</t>
  </si>
  <si>
    <t>Charity %</t>
  </si>
  <si>
    <t>Charity $</t>
  </si>
  <si>
    <t>28215/1000</t>
  </si>
  <si>
    <t>Baby steps</t>
  </si>
  <si>
    <t>imagine</t>
  </si>
  <si>
    <t>MHP FO APP</t>
  </si>
  <si>
    <t>MHP FO CLICk</t>
  </si>
  <si>
    <t>Festival</t>
  </si>
  <si>
    <t>Attendence</t>
  </si>
  <si>
    <t>revenue @ 85</t>
  </si>
  <si>
    <t>.5% Profit</t>
  </si>
  <si>
    <t>Revenue @85</t>
  </si>
  <si>
    <t>Chariity</t>
  </si>
  <si>
    <t>Spring Awakening</t>
  </si>
  <si>
    <t>electric forest</t>
  </si>
  <si>
    <t>lollapalooza</t>
  </si>
  <si>
    <t>mamby</t>
  </si>
  <si>
    <t>Ezoo</t>
  </si>
  <si>
    <t>Imagine Festival</t>
  </si>
  <si>
    <t>Lost Lands</t>
  </si>
  <si>
    <t>Wakaan Festival</t>
  </si>
  <si>
    <t>Freaky Deaky</t>
  </si>
  <si>
    <t>.5% Purchase</t>
  </si>
  <si>
    <t>1% Purchase</t>
  </si>
  <si>
    <t>3% Purchase</t>
  </si>
  <si>
    <t>.5% Revenue</t>
  </si>
  <si>
    <t>1% Revenue</t>
  </si>
  <si>
    <t>3% Revenue</t>
  </si>
  <si>
    <t>.5% Cost</t>
  </si>
  <si>
    <t>1% Cost</t>
  </si>
  <si>
    <t>3% Cost</t>
  </si>
  <si>
    <t>Manufacturing Cost</t>
  </si>
  <si>
    <t>Event Cost</t>
  </si>
  <si>
    <t>.5% Total Revenue</t>
  </si>
  <si>
    <t>3% Total Revenue</t>
  </si>
  <si>
    <t>1% Total Revenue</t>
  </si>
  <si>
    <t>.5% Artist Royalty</t>
  </si>
  <si>
    <t>3% Artist Royalty</t>
  </si>
  <si>
    <t>1% Artist Royalty</t>
  </si>
  <si>
    <t>.5% Charity Donation</t>
  </si>
  <si>
    <t>1% Charity Donation</t>
  </si>
  <si>
    <t>3% Charity Donation</t>
  </si>
  <si>
    <t>.5% Final Profit</t>
  </si>
  <si>
    <t>1% Final Profit</t>
  </si>
  <si>
    <t>3% Final Profit</t>
  </si>
  <si>
    <t>Shithead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</si>
</sst>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44" formatCode="_(&quot;$&quot;* #,##0.00_);_(&quot;$&quot;* \(#,##0.00\);_(&quot;$&quot;* &quot;-&quot;??_);_(@_)"/>
    <numFmt numFmtId="164" formatCode="&quot;$&quot;#,##0.00"/>
  </numFmts>
  <fonts count="22" x14ac:knownFonts="1">
    <font>
      <sz val="10"/>
      <color theme="1" tint="0.24994659260841701"/>
      <name val="Arial"/>
      <family val="2"/>
      <scheme val="minor"/>
    </font>
    <font>
      <b/>
      <sz val="10"/>
      <color theme="4" tint="-0.499984740745262"/>
      <name val="Georgia"/>
      <family val="1"/>
      <scheme val="major"/>
    </font>
    <font>
      <sz val="29"/>
      <color theme="4" tint="-0.24994659260841701"/>
      <name val="Georgia"/>
      <family val="2"/>
      <scheme val="major"/>
    </font>
    <font>
      <sz val="11"/>
      <color theme="4" tint="-0.24994659260841701"/>
      <name val="Georgia"/>
      <family val="1"/>
      <scheme val="major"/>
    </font>
    <font>
      <b/>
      <sz val="9"/>
      <color theme="4" tint="0.39991454817346722"/>
      <name val="Arial"/>
      <family val="2"/>
      <scheme val="minor"/>
    </font>
    <font>
      <b/>
      <sz val="9"/>
      <color theme="4" tint="-0.24994659260841701"/>
      <name val="Arial"/>
      <family val="2"/>
      <scheme val="minor"/>
    </font>
    <font>
      <sz val="10"/>
      <color theme="4"/>
      <name val="Arial"/>
      <family val="2"/>
      <scheme val="minor"/>
    </font>
    <font>
      <sz val="10"/>
      <color theme="4" tint="-0.499984740745262"/>
      <name val="Arial"/>
      <family val="2"/>
      <scheme val="minor"/>
    </font>
    <font>
      <sz val="10"/>
      <color theme="4" tint="-0.499984740745262"/>
      <name val="Georgia"/>
      <family val="1"/>
      <scheme val="major"/>
    </font>
    <font>
      <sz val="10"/>
      <color theme="4" tint="-0.499984740745262"/>
      <name val="Arial"/>
      <family val="1"/>
      <scheme val="minor"/>
    </font>
    <font>
      <sz val="9"/>
      <color theme="4" tint="-0.499984740745262"/>
      <name val="Arial"/>
      <family val="2"/>
      <scheme val="minor"/>
    </font>
    <font>
      <b/>
      <sz val="9"/>
      <color theme="4" tint="-0.499984740745262"/>
      <name val="Arial"/>
      <family val="2"/>
      <scheme val="minor"/>
    </font>
    <font>
      <sz val="10"/>
      <color theme="1" tint="0.34998626667073579"/>
      <name val="Arial"/>
      <family val="2"/>
      <scheme val="minor"/>
    </font>
    <font>
      <b/>
      <sz val="10"/>
      <color theme="1" tint="0.34998626667073579"/>
      <name val="Arial"/>
      <family val="2"/>
      <scheme val="minor"/>
    </font>
    <font>
      <b/>
      <sz val="10"/>
      <color theme="1" tint="0.24994659260841701"/>
      <name val="Arial"/>
      <family val="2"/>
      <scheme val="minor"/>
    </font>
    <font>
      <sz val="10"/>
      <color theme="0"/>
      <name val="Arial"/>
      <family val="2"/>
      <scheme val="minor"/>
    </font>
    <font>
      <b/>
      <sz val="10.5"/>
      <color theme="1" tint="0.24994659260841701"/>
      <name val="Arial"/>
      <family val="2"/>
    </font>
    <font>
      <sz val="10.5"/>
      <color theme="1" tint="0.24994659260841701"/>
      <name val="Arial"/>
      <family val="2"/>
    </font>
    <font>
      <sz val="10.5"/>
      <color rgb="FFFF0000"/>
      <name val="Arial"/>
      <family val="2"/>
    </font>
    <font>
      <sz val="9"/>
      <color indexed="81"/>
      <name val="Tahoma"/>
      <family val="2"/>
    </font>
    <font>
      <b/>
      <sz val="9"/>
      <color indexed="81"/>
      <name val="Tahoma"/>
      <family val="2"/>
    </font>
    <font>
      <sz val="10"/>
      <color theme="1" tint="0.24994659260841701"/>
      <name val="Arial"/>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0.249977111117893"/>
        <bgColor indexed="64"/>
      </patternFill>
    </fill>
    <fill>
      <patternFill patternType="solid">
        <fgColor theme="1"/>
        <bgColor indexed="64"/>
      </patternFill>
    </fill>
    <fill>
      <patternFill patternType="solid">
        <fgColor theme="0" tint="-0.14999847407452621"/>
        <bgColor indexed="64"/>
      </patternFill>
    </fill>
    <fill>
      <patternFill patternType="solid">
        <fgColor theme="5" tint="0.39997558519241921"/>
        <bgColor indexed="64"/>
      </patternFill>
    </fill>
  </fills>
  <borders count="17">
    <border>
      <left/>
      <right/>
      <top/>
      <bottom/>
      <diagonal/>
    </border>
    <border>
      <left style="hair">
        <color theme="1" tint="0.34998626667073579"/>
      </left>
      <right/>
      <top style="hair">
        <color theme="1" tint="0.34998626667073579"/>
      </top>
      <bottom style="hair">
        <color theme="1" tint="0.34998626667073579"/>
      </bottom>
      <diagonal/>
    </border>
    <border>
      <left/>
      <right/>
      <top style="hair">
        <color theme="1" tint="0.34998626667073579"/>
      </top>
      <bottom style="hair">
        <color theme="1" tint="0.34998626667073579"/>
      </bottom>
      <diagonal/>
    </border>
    <border>
      <left/>
      <right style="hair">
        <color theme="1" tint="0.34998626667073579"/>
      </right>
      <top style="hair">
        <color theme="1" tint="0.34998626667073579"/>
      </top>
      <bottom style="hair">
        <color theme="1" tint="0.34998626667073579"/>
      </bottom>
      <diagonal/>
    </border>
    <border>
      <left/>
      <right/>
      <top style="medium">
        <color theme="4" tint="-0.24994659260841701"/>
      </top>
      <bottom/>
      <diagonal/>
    </border>
    <border>
      <left/>
      <right/>
      <top style="dotted">
        <color theme="4" tint="0.59996337778862885"/>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s>
  <cellStyleXfs count="7">
    <xf numFmtId="0" fontId="0" fillId="0" borderId="0">
      <alignment vertical="center"/>
    </xf>
    <xf numFmtId="0" fontId="2" fillId="0" borderId="0" applyNumberFormat="0" applyFill="0" applyBorder="0" applyAlignment="0" applyProtection="0"/>
    <xf numFmtId="0" fontId="1" fillId="0" borderId="0" applyNumberFormat="0" applyFill="0" applyBorder="0" applyAlignment="0" applyProtection="0"/>
    <xf numFmtId="0" fontId="5" fillId="0" borderId="0" applyNumberFormat="0" applyFill="0" applyBorder="0" applyProtection="0">
      <alignment horizontal="left" vertical="center" indent="1"/>
    </xf>
    <xf numFmtId="0" fontId="3" fillId="0" borderId="0" applyNumberFormat="0" applyFill="0" applyBorder="0" applyAlignment="0" applyProtection="0"/>
    <xf numFmtId="0" fontId="4" fillId="0" borderId="0" applyNumberFormat="0" applyFill="0" applyBorder="0" applyAlignment="0" applyProtection="0"/>
    <xf numFmtId="44" fontId="21" fillId="0" borderId="0" applyFont="0" applyFill="0" applyBorder="0" applyAlignment="0" applyProtection="0"/>
  </cellStyleXfs>
  <cellXfs count="109">
    <xf numFmtId="0" fontId="0" fillId="0" borderId="0" xfId="0">
      <alignment vertical="center"/>
    </xf>
    <xf numFmtId="0" fontId="1" fillId="0" borderId="0" xfId="2" applyAlignment="1">
      <alignment vertical="center"/>
    </xf>
    <xf numFmtId="0" fontId="0" fillId="0" borderId="0" xfId="0" applyAlignment="1">
      <alignment horizontal="left" vertical="center" indent="1"/>
    </xf>
    <xf numFmtId="0" fontId="3" fillId="0" borderId="0" xfId="4" applyAlignment="1">
      <alignment horizontal="right" vertical="center"/>
    </xf>
    <xf numFmtId="164" fontId="0" fillId="0" borderId="0" xfId="0" applyNumberFormat="1" applyAlignment="1">
      <alignment horizontal="right" vertical="center" indent="1"/>
    </xf>
    <xf numFmtId="0" fontId="2" fillId="0" borderId="0" xfId="1" applyAlignment="1">
      <alignment horizontal="left" vertical="center" indent="1"/>
    </xf>
    <xf numFmtId="0" fontId="11" fillId="0" borderId="0" xfId="3" applyFont="1">
      <alignment horizontal="left" vertical="center" indent="1"/>
    </xf>
    <xf numFmtId="0" fontId="7" fillId="0" borderId="0" xfId="0" applyFont="1">
      <alignment vertical="center"/>
    </xf>
    <xf numFmtId="0" fontId="11" fillId="0" borderId="0" xfId="3" applyFont="1" applyAlignment="1">
      <alignment horizontal="left" vertical="center"/>
    </xf>
    <xf numFmtId="0" fontId="11" fillId="0" borderId="0" xfId="3" applyFont="1" applyAlignment="1">
      <alignment horizontal="right" vertical="center" indent="1"/>
    </xf>
    <xf numFmtId="0" fontId="9" fillId="0" borderId="0" xfId="0" applyFont="1" applyBorder="1" applyAlignment="1">
      <alignment horizontal="left" vertical="center" wrapText="1" indent="1"/>
    </xf>
    <xf numFmtId="0" fontId="7" fillId="0" borderId="0" xfId="0" applyFont="1" applyBorder="1" applyAlignment="1">
      <alignment horizontal="left" vertical="center" wrapText="1" indent="1"/>
    </xf>
    <xf numFmtId="0" fontId="6" fillId="0" borderId="0" xfId="0" applyFont="1" applyBorder="1" applyAlignment="1">
      <alignment horizontal="left" vertical="center" wrapText="1" indent="1"/>
    </xf>
    <xf numFmtId="0" fontId="12" fillId="0" borderId="0" xfId="0" applyFont="1" applyFill="1" applyBorder="1" applyAlignment="1">
      <alignment horizontal="left" vertical="center" indent="1"/>
    </xf>
    <xf numFmtId="0" fontId="12" fillId="0" borderId="0" xfId="0" applyFont="1" applyFill="1" applyBorder="1">
      <alignment vertical="center"/>
    </xf>
    <xf numFmtId="0" fontId="12" fillId="2" borderId="0" xfId="0" applyFont="1" applyFill="1" applyBorder="1" applyAlignment="1">
      <alignment horizontal="left" vertical="center" indent="1"/>
    </xf>
    <xf numFmtId="0" fontId="12" fillId="2" borderId="0" xfId="0" applyFont="1" applyFill="1" applyBorder="1">
      <alignment vertical="center"/>
    </xf>
    <xf numFmtId="0" fontId="13" fillId="2" borderId="0" xfId="0" applyFont="1" applyFill="1" applyBorder="1" applyAlignment="1">
      <alignment horizontal="left" vertical="center" indent="1"/>
    </xf>
    <xf numFmtId="0" fontId="13" fillId="2" borderId="0" xfId="0" applyFont="1" applyFill="1" applyBorder="1">
      <alignment vertical="center"/>
    </xf>
    <xf numFmtId="164" fontId="13" fillId="2" borderId="0" xfId="0" applyNumberFormat="1" applyFont="1" applyFill="1" applyBorder="1" applyAlignment="1">
      <alignment horizontal="right" vertical="center" indent="1"/>
    </xf>
    <xf numFmtId="0" fontId="7" fillId="0" borderId="4" xfId="0" applyFont="1" applyFill="1" applyBorder="1">
      <alignment vertical="center"/>
    </xf>
    <xf numFmtId="0" fontId="7" fillId="0" borderId="4" xfId="0" applyFont="1" applyFill="1" applyBorder="1" applyAlignment="1">
      <alignment horizontal="right" vertical="center"/>
    </xf>
    <xf numFmtId="0" fontId="12" fillId="0" borderId="5" xfId="0" applyFont="1" applyFill="1" applyBorder="1" applyAlignment="1">
      <alignment horizontal="left" vertical="center" indent="1"/>
    </xf>
    <xf numFmtId="0" fontId="12" fillId="0" borderId="5" xfId="0" applyFont="1" applyFill="1" applyBorder="1">
      <alignment vertical="center"/>
    </xf>
    <xf numFmtId="0" fontId="11" fillId="0" borderId="0" xfId="3" applyFont="1" applyFill="1" applyBorder="1" applyAlignment="1">
      <alignment horizontal="left" vertical="center" indent="1"/>
    </xf>
    <xf numFmtId="0" fontId="0" fillId="0" borderId="0" xfId="0" applyAlignment="1">
      <alignment horizontal="center" vertical="center"/>
    </xf>
    <xf numFmtId="0" fontId="0" fillId="0" borderId="0" xfId="0" applyAlignment="1">
      <alignment horizontal="center" vertical="center"/>
    </xf>
    <xf numFmtId="0" fontId="0" fillId="0" borderId="0" xfId="0" applyAlignment="1">
      <alignment horizontal="left" vertical="center" indent="2"/>
    </xf>
    <xf numFmtId="0" fontId="0" fillId="0" borderId="0" xfId="0" applyAlignment="1">
      <alignment horizontal="left" vertical="center" indent="3"/>
    </xf>
    <xf numFmtId="0" fontId="0" fillId="0" borderId="0" xfId="0" applyAlignment="1">
      <alignment horizontal="left" vertical="center" indent="4"/>
    </xf>
    <xf numFmtId="0" fontId="0" fillId="0" borderId="0" xfId="0" applyAlignment="1">
      <alignment vertical="center" wrapText="1"/>
    </xf>
    <xf numFmtId="0" fontId="0" fillId="0" borderId="0" xfId="0" applyAlignment="1">
      <alignment horizontal="center" vertical="center" wrapText="1"/>
    </xf>
    <xf numFmtId="0" fontId="0" fillId="0" borderId="6" xfId="0" applyBorder="1">
      <alignment vertical="center"/>
    </xf>
    <xf numFmtId="0" fontId="14" fillId="3" borderId="6" xfId="0" applyFont="1" applyFill="1" applyBorder="1" applyAlignment="1">
      <alignment horizontal="center" vertical="center"/>
    </xf>
    <xf numFmtId="0" fontId="14" fillId="3" borderId="6" xfId="0" applyFont="1" applyFill="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vertical="center" wrapText="1"/>
    </xf>
    <xf numFmtId="14" fontId="0" fillId="0" borderId="6" xfId="0" applyNumberFormat="1" applyBorder="1">
      <alignment vertical="center"/>
    </xf>
    <xf numFmtId="14" fontId="0" fillId="0" borderId="6" xfId="0" applyNumberFormat="1" applyBorder="1" applyAlignment="1">
      <alignment horizontal="center" vertical="center" wrapText="1"/>
    </xf>
    <xf numFmtId="0" fontId="0" fillId="3" borderId="6" xfId="0" applyFill="1" applyBorder="1" applyAlignment="1">
      <alignment horizontal="center" vertical="center" wrapText="1"/>
    </xf>
    <xf numFmtId="0" fontId="0" fillId="0" borderId="0" xfId="0" applyAlignment="1">
      <alignment horizontal="center" vertical="center"/>
    </xf>
    <xf numFmtId="0" fontId="0" fillId="0" borderId="6" xfId="0" applyBorder="1" applyAlignment="1">
      <alignment horizontal="center" vertical="center"/>
    </xf>
    <xf numFmtId="0" fontId="16" fillId="0" borderId="8" xfId="0" applyFont="1" applyBorder="1" applyAlignment="1">
      <alignment horizontal="justify" vertical="center" wrapText="1"/>
    </xf>
    <xf numFmtId="0" fontId="16" fillId="0" borderId="9" xfId="0" applyFont="1" applyBorder="1" applyAlignment="1">
      <alignment horizontal="justify" vertical="center" wrapText="1"/>
    </xf>
    <xf numFmtId="0" fontId="17" fillId="0" borderId="9" xfId="0" applyFont="1" applyBorder="1" applyAlignment="1">
      <alignment horizontal="justify" vertical="center" wrapText="1"/>
    </xf>
    <xf numFmtId="0" fontId="16" fillId="0" borderId="10" xfId="0" applyFont="1" applyBorder="1" applyAlignment="1">
      <alignment horizontal="justify" vertical="center" wrapText="1"/>
    </xf>
    <xf numFmtId="0" fontId="16" fillId="0" borderId="11" xfId="0" applyFont="1" applyBorder="1" applyAlignment="1">
      <alignment horizontal="justify" vertical="center" wrapText="1"/>
    </xf>
    <xf numFmtId="0" fontId="16" fillId="0" borderId="12" xfId="0" applyFont="1" applyBorder="1" applyAlignment="1">
      <alignment horizontal="justify" vertical="center" wrapText="1"/>
    </xf>
    <xf numFmtId="0" fontId="17" fillId="0" borderId="12" xfId="0" applyFont="1" applyBorder="1" applyAlignment="1">
      <alignment horizontal="justify" vertical="center" wrapText="1"/>
    </xf>
    <xf numFmtId="0" fontId="0" fillId="0" borderId="13" xfId="0" applyBorder="1" applyAlignment="1">
      <alignment vertical="top" wrapText="1"/>
    </xf>
    <xf numFmtId="0" fontId="17" fillId="0" borderId="12" xfId="0" applyFont="1" applyBorder="1" applyAlignment="1">
      <alignment horizontal="center" vertical="center" wrapText="1"/>
    </xf>
    <xf numFmtId="0" fontId="17" fillId="0" borderId="13" xfId="0" applyFont="1" applyBorder="1" applyAlignment="1">
      <alignment horizontal="justify" vertical="center" wrapText="1"/>
    </xf>
    <xf numFmtId="8" fontId="17" fillId="0" borderId="12" xfId="0" applyNumberFormat="1" applyFont="1" applyBorder="1" applyAlignment="1">
      <alignment horizontal="justify" vertical="center" wrapText="1"/>
    </xf>
    <xf numFmtId="0" fontId="17" fillId="0" borderId="10" xfId="0" applyFont="1" applyBorder="1" applyAlignment="1">
      <alignment horizontal="justify" vertical="center" wrapText="1"/>
    </xf>
    <xf numFmtId="0" fontId="17" fillId="0" borderId="13" xfId="0" applyFont="1" applyBorder="1" applyAlignment="1">
      <alignment horizontal="center" vertical="center" wrapText="1"/>
    </xf>
    <xf numFmtId="8" fontId="17" fillId="0" borderId="13" xfId="0" applyNumberFormat="1" applyFont="1" applyBorder="1" applyAlignment="1">
      <alignment horizontal="justify" vertical="center" wrapText="1"/>
    </xf>
    <xf numFmtId="0" fontId="17" fillId="0" borderId="7" xfId="0" applyFont="1" applyBorder="1" applyAlignment="1">
      <alignment horizontal="justify" vertical="center" wrapText="1"/>
    </xf>
    <xf numFmtId="0" fontId="17" fillId="0" borderId="0" xfId="0" applyFont="1" applyFill="1" applyBorder="1" applyAlignment="1">
      <alignment horizontal="justify" vertical="center" wrapText="1"/>
    </xf>
    <xf numFmtId="8" fontId="17" fillId="0" borderId="0" xfId="0" applyNumberFormat="1" applyFont="1" applyFill="1" applyBorder="1" applyAlignment="1">
      <alignment horizontal="justify" vertical="center" wrapText="1"/>
    </xf>
    <xf numFmtId="0" fontId="18" fillId="0" borderId="0" xfId="0" applyFont="1" applyFill="1" applyBorder="1" applyAlignment="1">
      <alignment horizontal="justify" vertical="center" wrapText="1"/>
    </xf>
    <xf numFmtId="0" fontId="0" fillId="3" borderId="0" xfId="0" applyFill="1" applyAlignment="1">
      <alignment horizontal="center" vertical="center" wrapText="1"/>
    </xf>
    <xf numFmtId="0" fontId="0" fillId="3" borderId="0" xfId="0" applyFill="1" applyAlignment="1">
      <alignment vertical="center" wrapText="1"/>
    </xf>
    <xf numFmtId="164" fontId="0" fillId="0" borderId="0" xfId="0" applyNumberFormat="1" applyAlignment="1">
      <alignment horizontal="center" vertical="center"/>
    </xf>
    <xf numFmtId="0" fontId="0" fillId="0" borderId="0" xfId="0" applyAlignment="1">
      <alignment horizontal="left" vertical="center"/>
    </xf>
    <xf numFmtId="0" fontId="0" fillId="3" borderId="0" xfId="0" applyFill="1" applyAlignment="1">
      <alignment horizontal="center" vertical="center"/>
    </xf>
    <xf numFmtId="0" fontId="0" fillId="3" borderId="0" xfId="0" applyFill="1">
      <alignment vertical="center"/>
    </xf>
    <xf numFmtId="14" fontId="0" fillId="0" borderId="0" xfId="0" applyNumberFormat="1">
      <alignment vertical="center"/>
    </xf>
    <xf numFmtId="6" fontId="0" fillId="0" borderId="0" xfId="0" applyNumberFormat="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6" xfId="0" applyBorder="1" applyAlignment="1">
      <alignment horizontal="center" vertical="center"/>
    </xf>
    <xf numFmtId="10" fontId="0" fillId="0" borderId="0" xfId="0" applyNumberFormat="1">
      <alignment vertical="center"/>
    </xf>
    <xf numFmtId="10" fontId="0" fillId="0" borderId="6" xfId="0" applyNumberFormat="1" applyBorder="1">
      <alignment vertical="center"/>
    </xf>
    <xf numFmtId="164" fontId="0" fillId="0" borderId="6" xfId="0" applyNumberFormat="1" applyBorder="1">
      <alignment vertical="center"/>
    </xf>
    <xf numFmtId="0" fontId="0" fillId="3" borderId="6" xfId="0" applyFill="1" applyBorder="1">
      <alignment vertical="center"/>
    </xf>
    <xf numFmtId="0" fontId="14" fillId="0" borderId="0" xfId="0" applyFont="1">
      <alignment vertical="center"/>
    </xf>
    <xf numFmtId="9" fontId="0" fillId="0" borderId="0" xfId="0" applyNumberFormat="1">
      <alignment vertical="center"/>
    </xf>
    <xf numFmtId="164" fontId="0" fillId="0" borderId="6" xfId="0" applyNumberFormat="1" applyBorder="1" applyAlignment="1">
      <alignment horizontal="center" vertical="center"/>
    </xf>
    <xf numFmtId="4" fontId="0" fillId="0" borderId="0" xfId="0" applyNumberFormat="1" applyAlignment="1">
      <alignment horizontal="center" vertical="center"/>
    </xf>
    <xf numFmtId="0" fontId="9" fillId="0" borderId="1" xfId="0" applyFont="1" applyBorder="1" applyAlignment="1">
      <alignment horizontal="left" vertical="center" wrapText="1" indent="1"/>
    </xf>
    <xf numFmtId="0" fontId="6" fillId="0" borderId="2" xfId="0" applyFont="1" applyBorder="1" applyAlignment="1">
      <alignment horizontal="left" vertical="center" wrapText="1" indent="1"/>
    </xf>
    <xf numFmtId="0" fontId="6" fillId="0" borderId="3" xfId="0" applyFont="1" applyBorder="1" applyAlignment="1">
      <alignment horizontal="left" vertical="center" wrapText="1" indent="1"/>
    </xf>
    <xf numFmtId="0" fontId="0" fillId="0" borderId="0" xfId="0" applyAlignment="1">
      <alignment horizontal="center" vertical="center"/>
    </xf>
    <xf numFmtId="0" fontId="7" fillId="0" borderId="2" xfId="0" applyFont="1" applyBorder="1" applyAlignment="1">
      <alignment horizontal="left" vertical="center" wrapText="1" indent="1"/>
    </xf>
    <xf numFmtId="0" fontId="7" fillId="0" borderId="3" xfId="0" applyFont="1" applyBorder="1" applyAlignment="1">
      <alignment horizontal="left" vertical="center" wrapText="1" indent="1"/>
    </xf>
    <xf numFmtId="0" fontId="0" fillId="4" borderId="6" xfId="0" applyFill="1" applyBorder="1" applyAlignment="1">
      <alignment horizontal="center" vertical="center" wrapText="1"/>
    </xf>
    <xf numFmtId="0" fontId="0" fillId="0" borderId="6" xfId="0" applyBorder="1" applyAlignment="1">
      <alignment horizontal="center" vertical="center"/>
    </xf>
    <xf numFmtId="0" fontId="0" fillId="0" borderId="16" xfId="0" applyBorder="1" applyAlignment="1">
      <alignment horizontal="center" vertical="center"/>
    </xf>
    <xf numFmtId="0" fontId="15" fillId="5" borderId="6" xfId="0" applyFont="1" applyFill="1" applyBorder="1" applyAlignment="1">
      <alignment horizontal="center" vertical="center" wrapText="1"/>
    </xf>
    <xf numFmtId="0" fontId="17" fillId="0" borderId="14" xfId="0" applyFont="1" applyBorder="1" applyAlignment="1">
      <alignment horizontal="right" vertical="center" wrapText="1"/>
    </xf>
    <xf numFmtId="0" fontId="17" fillId="0" borderId="15" xfId="0" applyFont="1" applyBorder="1" applyAlignment="1">
      <alignment horizontal="right" vertical="center" wrapText="1"/>
    </xf>
    <xf numFmtId="0" fontId="17" fillId="0" borderId="0" xfId="0" applyFont="1" applyFill="1" applyBorder="1" applyAlignment="1">
      <alignment horizontal="left" vertical="center" wrapText="1"/>
    </xf>
    <xf numFmtId="0" fontId="14" fillId="0" borderId="0" xfId="0" applyFont="1" applyAlignment="1">
      <alignment horizontal="center" vertical="center"/>
    </xf>
    <xf numFmtId="0" fontId="14" fillId="0" borderId="6" xfId="0" applyFont="1" applyBorder="1" applyAlignment="1">
      <alignment horizontal="center" vertical="center"/>
    </xf>
    <xf numFmtId="0" fontId="14" fillId="6" borderId="6" xfId="0" applyFont="1" applyFill="1" applyBorder="1" applyAlignment="1">
      <alignment horizontal="center" vertical="center"/>
    </xf>
    <xf numFmtId="0" fontId="0" fillId="6" borderId="6" xfId="0" applyFill="1" applyBorder="1" applyAlignment="1">
      <alignment horizontal="center" vertical="center"/>
    </xf>
    <xf numFmtId="164" fontId="0" fillId="0" borderId="0" xfId="6" applyNumberFormat="1" applyFont="1" applyAlignment="1">
      <alignment horizontal="center" vertical="center"/>
    </xf>
    <xf numFmtId="0" fontId="0" fillId="7" borderId="0" xfId="0" applyFill="1" applyAlignment="1">
      <alignment horizontal="center" vertical="center" wrapText="1"/>
    </xf>
    <xf numFmtId="164" fontId="0" fillId="7" borderId="0" xfId="0" applyNumberFormat="1" applyFill="1" applyAlignment="1">
      <alignment horizontal="center" vertical="center"/>
    </xf>
    <xf numFmtId="0" fontId="0" fillId="7" borderId="0" xfId="0" applyFill="1" applyAlignment="1">
      <alignment horizontal="center" vertical="center"/>
    </xf>
    <xf numFmtId="0" fontId="0" fillId="0" borderId="0" xfId="0" applyFill="1" applyAlignment="1">
      <alignment horizontal="center" vertical="center" wrapText="1"/>
    </xf>
    <xf numFmtId="3" fontId="0" fillId="0" borderId="0" xfId="0" applyNumberFormat="1" applyFill="1" applyAlignment="1">
      <alignment horizontal="center" vertical="center"/>
    </xf>
    <xf numFmtId="164" fontId="0" fillId="0" borderId="0" xfId="0" applyNumberFormat="1" applyFill="1" applyAlignment="1">
      <alignment horizontal="center" vertical="center"/>
    </xf>
    <xf numFmtId="164" fontId="14" fillId="0" borderId="0" xfId="0" applyNumberFormat="1" applyFont="1" applyFill="1" applyAlignment="1">
      <alignment horizontal="center" vertical="center"/>
    </xf>
    <xf numFmtId="8" fontId="0" fillId="0" borderId="0" xfId="0" applyNumberFormat="1">
      <alignment vertical="center"/>
    </xf>
    <xf numFmtId="16" fontId="0" fillId="0" borderId="0" xfId="0" applyNumberFormat="1">
      <alignment vertical="center"/>
    </xf>
    <xf numFmtId="0" fontId="14" fillId="8" borderId="6" xfId="0" applyFont="1" applyFill="1" applyBorder="1" applyAlignment="1">
      <alignment horizontal="center" vertical="center"/>
    </xf>
    <xf numFmtId="0" fontId="15" fillId="9" borderId="0" xfId="0" applyFont="1" applyFill="1" applyAlignment="1">
      <alignment horizontal="center" vertical="center"/>
    </xf>
  </cellXfs>
  <cellStyles count="7">
    <cellStyle name="Currency" xfId="6" builtinId="4"/>
    <cellStyle name="Heading 1" xfId="2" builtinId="16" customBuiltin="1"/>
    <cellStyle name="Heading 2" xfId="3" builtinId="17" customBuiltin="1"/>
    <cellStyle name="Heading 3" xfId="5" builtinId="18" customBuiltin="1"/>
    <cellStyle name="Heading 4" xfId="4" builtinId="19" customBuiltin="1"/>
    <cellStyle name="Normal" xfId="0" builtinId="0" customBuiltin="1"/>
    <cellStyle name="Title" xfId="1" builtinId="15" customBuiltin="1"/>
  </cellStyles>
  <dxfs count="74">
    <dxf>
      <border outline="0">
        <top style="medium">
          <color theme="4" tint="-0.24994659260841701"/>
        </top>
      </border>
    </dxf>
    <dxf>
      <font>
        <b/>
        <i val="0"/>
        <strike val="0"/>
        <condense val="0"/>
        <extend val="0"/>
        <outline val="0"/>
        <shadow val="0"/>
        <u val="none"/>
        <vertAlign val="baseline"/>
        <sz val="9"/>
        <color theme="4" tint="-0.499984740745262"/>
        <name val="Arial"/>
        <scheme val="minor"/>
      </font>
      <fill>
        <patternFill patternType="none">
          <fgColor indexed="64"/>
          <bgColor indexed="65"/>
        </patternFill>
      </fill>
      <alignment horizontal="left" vertical="center" textRotation="0" wrapText="0" indent="1" justifyLastLine="0" shrinkToFit="0" readingOrder="0"/>
    </dxf>
    <dxf>
      <border outline="0">
        <top style="medium">
          <color theme="4" tint="-0.24994659260841701"/>
        </top>
      </border>
    </dxf>
    <dxf>
      <font>
        <b/>
        <i val="0"/>
        <strike val="0"/>
        <condense val="0"/>
        <extend val="0"/>
        <outline val="0"/>
        <shadow val="0"/>
        <u val="none"/>
        <vertAlign val="baseline"/>
        <sz val="9"/>
        <color theme="4" tint="-0.499984740745262"/>
        <name val="Arial"/>
        <scheme val="minor"/>
      </font>
      <fill>
        <patternFill patternType="none">
          <fgColor indexed="64"/>
          <bgColor indexed="65"/>
        </patternFill>
      </fill>
      <alignment horizontal="left" vertical="center" textRotation="0" wrapText="0" indent="1" justifyLastLine="0" shrinkToFit="0" readingOrder="0"/>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numFmt numFmtId="164" formatCode="&quot;$&quot;#,##0.00"/>
      <alignment horizontal="right" vertical="center" textRotation="0" wrapText="0" indent="1" justifyLastLine="0" shrinkToFit="0" readingOrder="0"/>
    </dxf>
    <dxf>
      <alignment horizontal="left" vertical="center" textRotation="0" wrapText="0" relative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sz val="9"/>
        <color theme="4" tint="-0.499984740745262"/>
        <name val="Arial"/>
        <scheme val="minor"/>
      </font>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numFmt numFmtId="164" formatCode="&quot;$&quot;#,##0.00"/>
      <alignment horizontal="right" vertical="center" textRotation="0" wrapText="0" indent="1" justifyLastLine="0" shrinkToFit="0" readingOrder="0"/>
    </dxf>
    <dxf>
      <numFmt numFmtId="164" formatCode="&quot;$&quot;#,##0.00"/>
      <alignment horizontal="righ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relativeIndent="1" justifyLastLine="0" shrinkToFit="0" readingOrder="0"/>
    </dxf>
    <dxf>
      <font>
        <strike val="0"/>
        <outline val="0"/>
        <shadow val="0"/>
        <u val="none"/>
        <vertAlign val="baseline"/>
        <color theme="4" tint="-0.499984740745262"/>
        <name val="Arial"/>
        <scheme val="minor"/>
      </font>
    </dxf>
    <dxf>
      <border>
        <left style="dotted">
          <color theme="4" tint="0.59996337778862885"/>
        </left>
      </border>
    </dxf>
    <dxf>
      <fill>
        <patternFill>
          <bgColor theme="0" tint="-4.9989318521683403E-2"/>
        </patternFill>
      </fill>
    </dxf>
    <dxf>
      <border diagonalUp="0" diagonalDown="0">
        <left style="dotted">
          <color theme="4" tint="0.59996337778862885"/>
        </left>
        <right/>
        <top/>
        <bottom/>
        <vertical/>
        <horizontal/>
      </border>
    </dxf>
    <dxf>
      <font>
        <b/>
        <i val="0"/>
        <color theme="1" tint="0.34998626667073579"/>
      </font>
      <border diagonalUp="0" diagonalDown="0">
        <left/>
        <right/>
        <top style="dotted">
          <color theme="4" tint="0.59996337778862885"/>
        </top>
        <bottom style="dotted">
          <color theme="4" tint="0.59996337778862885"/>
        </bottom>
        <vertical/>
        <horizontal/>
      </border>
    </dxf>
    <dxf>
      <font>
        <b val="0"/>
        <i val="0"/>
        <color theme="4" tint="-0.499984740745262"/>
      </font>
      <fill>
        <patternFill patternType="none">
          <fgColor indexed="64"/>
          <bgColor auto="1"/>
        </patternFill>
      </fill>
      <border diagonalUp="0" diagonalDown="0">
        <left/>
        <right/>
        <top style="medium">
          <color theme="4" tint="-0.24994659260841701"/>
        </top>
        <bottom style="dotted">
          <color theme="4" tint="0.59996337778862885"/>
        </bottom>
        <vertical/>
        <horizontal/>
      </border>
    </dxf>
    <dxf>
      <font>
        <b val="0"/>
        <i val="0"/>
        <color theme="1" tint="0.34998626667073579"/>
      </font>
      <fill>
        <patternFill patternType="none">
          <bgColor auto="1"/>
        </patternFill>
      </fill>
      <border diagonalUp="0" diagonalDown="0">
        <left/>
        <right/>
        <top/>
        <bottom/>
        <vertical/>
        <horizontal/>
      </border>
    </dxf>
  </dxfs>
  <tableStyles count="1" defaultTableStyle="Startup Expenses" defaultPivotStyle="PivotStyleLight16">
    <tableStyle name="Startup Expenses" pivot="0" count="6" xr9:uid="{00000000-0011-0000-FFFF-FFFF00000000}">
      <tableStyleElement type="wholeTable" dxfId="73"/>
      <tableStyleElement type="headerRow" dxfId="72"/>
      <tableStyleElement type="totalRow" dxfId="71"/>
      <tableStyleElement type="lastColumn" dxfId="70"/>
      <tableStyleElement type="secondRowStripe" dxfId="69"/>
      <tableStyleElement type="lastTotalCell" dxfId="6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wnersInvestments" displayName="OwnersInvestments" ref="B70:D75" totalsRowCount="1" headerRowDxfId="67">
  <tableColumns count="3">
    <tableColumn id="1" xr3:uid="{00000000-0010-0000-0000-000001000000}" name="OWNERS' INVESTMENT (NAME &amp; OWNERSHIP %)" totalsRowLabel="Total" dataDxfId="66" totalsRowDxfId="65"/>
    <tableColumn id="3" xr3:uid="{00000000-0010-0000-0000-000003000000}" name=" "/>
    <tableColumn id="2" xr3:uid="{00000000-0010-0000-0000-000002000000}" name="AMOUNT" totalsRowFunction="sum" dataDxfId="64" totalsRowDxfId="63"/>
  </tableColumns>
  <tableStyleInfo name="Startup Expenses" showFirstColumn="0" showLastColumn="1" showRowStripes="1" showColumnStripes="0"/>
  <extLst>
    <ext xmlns:x14="http://schemas.microsoft.com/office/spreadsheetml/2009/9/main" uri="{504A1905-F514-4f6f-8877-14C23A59335A}">
      <x14:table altTextSummary="Enter Owners' Investment Name and Ownership percent and amount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RealEstate" displayName="RealEstate" ref="B5:D13" totalsRowCount="1" headerRowDxfId="62">
  <tableColumns count="3">
    <tableColumn id="1" xr3:uid="{00000000-0010-0000-0100-000001000000}" name="Website, Software, Utilities, Rent" totalsRowLabel="Total" dataDxfId="61" totalsRowDxfId="60"/>
    <tableColumn id="3" xr3:uid="{00000000-0010-0000-0100-000003000000}" name=" "/>
    <tableColumn id="2" xr3:uid="{00000000-0010-0000-0100-000002000000}" name="AMOUNT" totalsRowFunction="sum" dataDxfId="59" totalsRowDxfId="58"/>
  </tableColumns>
  <tableStyleInfo name="Startup Expenses" showFirstColumn="0" showLastColumn="1" showRowStripes="1" showColumnStripes="0"/>
  <extLst>
    <ext xmlns:x14="http://schemas.microsoft.com/office/spreadsheetml/2009/9/main" uri="{504A1905-F514-4f6f-8877-14C23A59335A}">
      <x14:table altTextSummary="Enter Real Estate items and Amount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Improvements" displayName="Improvements" ref="B15:D23" totalsRowCount="1" headerRowDxfId="57">
  <tableColumns count="3">
    <tableColumn id="1" xr3:uid="{00000000-0010-0000-0200-000001000000}" name="Licenses" totalsRowLabel="Total" dataDxfId="56" totalsRowDxfId="55"/>
    <tableColumn id="3" xr3:uid="{00000000-0010-0000-0200-000003000000}" name=" "/>
    <tableColumn id="2" xr3:uid="{00000000-0010-0000-0200-000002000000}" name="AMOUNT" totalsRowFunction="sum" dataDxfId="54" totalsRowDxfId="53"/>
  </tableColumns>
  <tableStyleInfo name="Startup Expenses" showFirstColumn="0" showLastColumn="1" showRowStripes="1" showColumnStripes="0"/>
  <extLst>
    <ext xmlns:x14="http://schemas.microsoft.com/office/spreadsheetml/2009/9/main" uri="{504A1905-F514-4f6f-8877-14C23A59335A}">
      <x14:table altTextSummary="Enter Leasehold Improvements and Amount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Capital" displayName="Capital" ref="B25:D31" totalsRowCount="1" headerRowDxfId="52">
  <tableColumns count="3">
    <tableColumn id="1" xr3:uid="{00000000-0010-0000-0300-000001000000}" name="CAPITAL EQUIPMENT LIST" totalsRowLabel="Total" dataDxfId="51" totalsRowDxfId="50"/>
    <tableColumn id="3" xr3:uid="{00000000-0010-0000-0300-000003000000}" name=" "/>
    <tableColumn id="2" xr3:uid="{00000000-0010-0000-0300-000002000000}" name="AMOUNT" totalsRowFunction="sum" dataDxfId="49" totalsRowDxfId="48"/>
  </tableColumns>
  <tableStyleInfo name="Startup Expenses" showFirstColumn="0" showLastColumn="1" showRowStripes="1" showColumnStripes="0"/>
  <extLst>
    <ext xmlns:x14="http://schemas.microsoft.com/office/spreadsheetml/2009/9/main" uri="{504A1905-F514-4f6f-8877-14C23A59335A}">
      <x14:table altTextSummary="Enter Capital Equipment List and Amount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AdminExpenses" displayName="AdminExpenses" ref="B33:D40" totalsRowCount="1" headerRowDxfId="47">
  <tableColumns count="3">
    <tableColumn id="1" xr3:uid="{00000000-0010-0000-0400-000001000000}" name="LOCATION AND ADMIN EXPENSES" totalsRowLabel="Total" dataDxfId="46" totalsRowDxfId="45"/>
    <tableColumn id="3" xr3:uid="{00000000-0010-0000-0400-000003000000}" name=" "/>
    <tableColumn id="2" xr3:uid="{00000000-0010-0000-0400-000002000000}" name="AMOUNT" totalsRowFunction="sum" dataDxfId="44" totalsRowDxfId="43"/>
  </tableColumns>
  <tableStyleInfo name="Startup Expenses" showFirstColumn="0" showLastColumn="1" showRowStripes="1" showColumnStripes="0"/>
  <extLst>
    <ext xmlns:x14="http://schemas.microsoft.com/office/spreadsheetml/2009/9/main" uri="{504A1905-F514-4f6f-8877-14C23A59335A}">
      <x14:table altTextSummary="Enter Location and Admin Expense items and Amount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OpeningInventory" displayName="OpeningInventory" ref="B42:D48" totalsRowCount="1" headerRowDxfId="42">
  <tableColumns count="3">
    <tableColumn id="1" xr3:uid="{00000000-0010-0000-0500-000001000000}" name="OPENING INVENTORY" totalsRowLabel="Total" dataDxfId="41" totalsRowDxfId="40"/>
    <tableColumn id="3" xr3:uid="{00000000-0010-0000-0500-000003000000}" name=" "/>
    <tableColumn id="2" xr3:uid="{00000000-0010-0000-0500-000002000000}" name="AMOUNT" totalsRowFunction="sum" dataDxfId="39" totalsRowDxfId="38"/>
  </tableColumns>
  <tableStyleInfo name="Startup Expenses" showFirstColumn="0" showLastColumn="1" showRowStripes="1" showColumnStripes="0"/>
  <extLst>
    <ext xmlns:x14="http://schemas.microsoft.com/office/spreadsheetml/2009/9/main" uri="{504A1905-F514-4f6f-8877-14C23A59335A}">
      <x14:table altTextSummary="Enter Opening Inventory items and Amount in this tab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PromoExpenses" displayName="PromoExpenses" ref="B50:D56" totalsRowCount="1" headerRowDxfId="37">
  <tableColumns count="3">
    <tableColumn id="1" xr3:uid="{00000000-0010-0000-0600-000001000000}" name="ADVERTISING AND PROMOTIONAL EXPENSES" totalsRowLabel="Total" dataDxfId="36" totalsRowDxfId="35"/>
    <tableColumn id="3" xr3:uid="{00000000-0010-0000-0600-000003000000}" name=" "/>
    <tableColumn id="2" xr3:uid="{00000000-0010-0000-0600-000002000000}" name="AMOUNT" totalsRowFunction="sum" dataDxfId="34" totalsRowDxfId="33"/>
  </tableColumns>
  <tableStyleInfo name="Startup Expenses" showFirstColumn="0" showLastColumn="1" showRowStripes="1" showColumnStripes="0"/>
  <extLst>
    <ext xmlns:x14="http://schemas.microsoft.com/office/spreadsheetml/2009/9/main" uri="{504A1905-F514-4f6f-8877-14C23A59335A}">
      <x14:table altTextSummary="Enter Advertising and Promotional Expenses items and Amount in this ta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OtherExpenses" displayName="OtherExpenses" ref="B58:D61" totalsRowCount="1" headerRowDxfId="32">
  <tableColumns count="3">
    <tableColumn id="1" xr3:uid="{00000000-0010-0000-0700-000001000000}" name="OTHER EXPENSES" totalsRowLabel="Total" dataDxfId="31" totalsRowDxfId="30"/>
    <tableColumn id="3" xr3:uid="{00000000-0010-0000-0700-000003000000}" name=" "/>
    <tableColumn id="2" xr3:uid="{00000000-0010-0000-0700-000002000000}" name="AMOUNT" totalsRowFunction="sum" dataDxfId="29" totalsRowDxfId="28"/>
  </tableColumns>
  <tableStyleInfo name="Startup Expenses" showFirstColumn="0" showLastColumn="1" showRowStripes="1" showColumnStripes="0"/>
  <extLst>
    <ext xmlns:x14="http://schemas.microsoft.com/office/spreadsheetml/2009/9/main" uri="{504A1905-F514-4f6f-8877-14C23A59335A}">
      <x14:table altTextSummary="Enter Other Expenses items and Amount in this table"/>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8000000}" name="Collateral" displayName="Collateral" ref="B111:D116" totalsRowCount="1" headerRowDxfId="27">
  <tableColumns count="3">
    <tableColumn id="1" xr3:uid="{00000000-0010-0000-0800-000001000000}" name="COLLATERAL FOR LOANS" totalsRowLabel="Total" dataDxfId="26" totalsRowDxfId="25"/>
    <tableColumn id="3" xr3:uid="{00000000-0010-0000-0800-000003000000}" name="DESCRIPTION"/>
    <tableColumn id="2" xr3:uid="{00000000-0010-0000-0800-000002000000}" name="VALUE" totalsRowFunction="sum" dataDxfId="24" totalsRowDxfId="23"/>
  </tableColumns>
  <tableStyleInfo name="Startup Expenses" showFirstColumn="0" showLastColumn="0" showRowStripes="1" showColumnStripes="0"/>
  <extLst>
    <ext xmlns:x14="http://schemas.microsoft.com/office/spreadsheetml/2009/9/main" uri="{504A1905-F514-4f6f-8877-14C23A59335A}">
      <x14:table altTextSummary="Enter Collateral for Loans, Description, and Value in this table"/>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9000000}" name="BankLoans" displayName="BankLoans" ref="B77:D82" totalsRowCount="1" headerRowDxfId="22">
  <tableColumns count="3">
    <tableColumn id="1" xr3:uid="{00000000-0010-0000-0900-000001000000}" name="BANK LOANS" totalsRowLabel="Total" dataDxfId="21" totalsRowDxfId="20"/>
    <tableColumn id="3" xr3:uid="{00000000-0010-0000-0900-000003000000}" name=" "/>
    <tableColumn id="2" xr3:uid="{00000000-0010-0000-0900-000002000000}" name="AMOUNT" totalsRowFunction="sum" dataDxfId="19" totalsRowDxfId="18"/>
  </tableColumns>
  <tableStyleInfo name="Startup Expenses" showFirstColumn="0" showLastColumn="1" showRowStripes="1" showColumnStripes="0"/>
  <extLst>
    <ext xmlns:x14="http://schemas.microsoft.com/office/spreadsheetml/2009/9/main" uri="{504A1905-F514-4f6f-8877-14C23A59335A}">
      <x14:table altTextSummary="Enter Bank Loans and amount in this table"/>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A000000}" name="OtherLoans" displayName="OtherLoans" ref="B84:D87" totalsRowCount="1" headerRowDxfId="17">
  <tableColumns count="3">
    <tableColumn id="1" xr3:uid="{00000000-0010-0000-0A00-000001000000}" name="OTHER LOANS" totalsRowLabel="Total" dataDxfId="16" totalsRowDxfId="15"/>
    <tableColumn id="3" xr3:uid="{00000000-0010-0000-0A00-000003000000}" name=" "/>
    <tableColumn id="2" xr3:uid="{00000000-0010-0000-0A00-000002000000}" name="AMOUNT" totalsRowFunction="sum" dataDxfId="14" totalsRowDxfId="13"/>
  </tableColumns>
  <tableStyleInfo name="Startup Expenses" showFirstColumn="0" showLastColumn="1" showRowStripes="1" showColumnStripes="0"/>
  <extLst>
    <ext xmlns:x14="http://schemas.microsoft.com/office/spreadsheetml/2009/9/main" uri="{504A1905-F514-4f6f-8877-14C23A59335A}">
      <x14:table altTextSummary="Enter Other Loans and amount in this table"/>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B000000}" name="CapitalSources" displayName="CapitalSources" ref="B92:D96" totalsRowCount="1" headerRowDxfId="12">
  <tableColumns count="3">
    <tableColumn id="1" xr3:uid="{00000000-0010-0000-0B00-000001000000}" name="SOURCE OF CAPITAL" totalsRowLabel="Total" dataDxfId="11" totalsRowDxfId="10"/>
    <tableColumn id="3" xr3:uid="{00000000-0010-0000-0B00-000003000000}" name=" "/>
    <tableColumn id="2" xr3:uid="{00000000-0010-0000-0B00-000002000000}" name="TOTALS" totalsRowFunction="sum" dataDxfId="9"/>
  </tableColumns>
  <tableStyleInfo name="Startup Expenses" showFirstColumn="0" showLastColumn="1" showRowStripes="1" showColumnStripes="0"/>
  <extLst>
    <ext xmlns:x14="http://schemas.microsoft.com/office/spreadsheetml/2009/9/main" uri="{504A1905-F514-4f6f-8877-14C23A59335A}">
      <x14:table altTextSummary="Source of Capital items and Totals are auto updated in this table"/>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C000000}" name="StartupExpenses" displayName="StartupExpenses" ref="B98:D108" totalsRowCount="1" headerRowDxfId="8">
  <tableColumns count="3">
    <tableColumn id="1" xr3:uid="{00000000-0010-0000-0C00-000001000000}" name="STARTUP EXPENSES" totalsRowLabel="Total" dataDxfId="7" totalsRowDxfId="6"/>
    <tableColumn id="3" xr3:uid="{00000000-0010-0000-0C00-000003000000}" name=" "/>
    <tableColumn id="2" xr3:uid="{00000000-0010-0000-0C00-000002000000}" name="TOTALS" totalsRowFunction="sum" dataDxfId="5" totalsRowDxfId="4"/>
  </tableColumns>
  <tableStyleInfo name="Startup Expenses" showFirstColumn="0" showLastColumn="0" showRowStripes="1" showColumnStripes="0"/>
  <extLst>
    <ext xmlns:x14="http://schemas.microsoft.com/office/spreadsheetml/2009/9/main" uri="{504A1905-F514-4f6f-8877-14C23A59335A}">
      <x14:table altTextSummary="Startup Expense items and Totals are auto updated in this table"/>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D000000}" name="Owners" displayName="Owners" ref="B118:B119" totalsRowShown="0" headerRowDxfId="3" tableBorderDxfId="2" headerRowCellStyle="Heading 2">
  <autoFilter ref="B118:B119" xr:uid="{00000000-0009-0000-0100-00000F000000}">
    <filterColumn colId="0" hiddenButton="1"/>
  </autoFilter>
  <tableColumns count="1">
    <tableColumn id="1" xr3:uid="{00000000-0010-0000-0D00-000001000000}" name="OWNERS"/>
  </tableColumns>
  <tableStyleInfo name="Startup Expenses" showFirstColumn="0" showLastColumn="0" showRowStripes="0" showColumnStripes="0"/>
  <extLst>
    <ext xmlns:x14="http://schemas.microsoft.com/office/spreadsheetml/2009/9/main" uri="{504A1905-F514-4f6f-8877-14C23A59335A}">
      <x14:table altTextSummary="Enter Owners name in this table"/>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E000000}" name="Guarantors" displayName="Guarantors" ref="B121:B124" totalsRowShown="0" headerRowDxfId="1" tableBorderDxfId="0" headerRowCellStyle="Heading 2">
  <autoFilter ref="B121:B124" xr:uid="{00000000-0009-0000-0100-000012000000}">
    <filterColumn colId="0" hiddenButton="1"/>
  </autoFilter>
  <tableColumns count="1">
    <tableColumn id="1" xr3:uid="{00000000-0010-0000-0E00-000001000000}" name="LOAN GUARANTORS (OTHER THAN OWNERS)"/>
  </tableColumns>
  <tableStyleInfo name="Startup Expenses" showFirstColumn="0" showLastColumn="0" showRowStripes="0" showColumnStripes="0"/>
  <extLst>
    <ext xmlns:x14="http://schemas.microsoft.com/office/spreadsheetml/2009/9/main" uri="{504A1905-F514-4f6f-8877-14C23A59335A}">
      <x14:table altTextSummary="Enter Names of Loan Guarantors Other Than Owners in this table"/>
    </ext>
  </extLst>
</table>
</file>

<file path=xl/theme/theme1.xml><?xml version="1.0" encoding="utf-8"?>
<a:theme xmlns:a="http://schemas.openxmlformats.org/drawingml/2006/main" name="Office Theme">
  <a:themeElements>
    <a:clrScheme name="Startup Expenses">
      <a:dk1>
        <a:srgbClr val="000000"/>
      </a:dk1>
      <a:lt1>
        <a:srgbClr val="FFFFFF"/>
      </a:lt1>
      <a:dk2>
        <a:srgbClr val="000000"/>
      </a:dk2>
      <a:lt2>
        <a:srgbClr val="FFFFFF"/>
      </a:lt2>
      <a:accent1>
        <a:srgbClr val="94AC6C"/>
      </a:accent1>
      <a:accent2>
        <a:srgbClr val="B0381C"/>
      </a:accent2>
      <a:accent3>
        <a:srgbClr val="0B648D"/>
      </a:accent3>
      <a:accent4>
        <a:srgbClr val="6A3A65"/>
      </a:accent4>
      <a:accent5>
        <a:srgbClr val="C06F2B"/>
      </a:accent5>
      <a:accent6>
        <a:srgbClr val="9E8A69"/>
      </a:accent6>
      <a:hlink>
        <a:srgbClr val="0B648D"/>
      </a:hlink>
      <a:folHlink>
        <a:srgbClr val="6A3A65"/>
      </a:folHlink>
    </a:clrScheme>
    <a:fontScheme name="Startup Expenses">
      <a:majorFont>
        <a:latin typeface="Georgia"/>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D124"/>
  <sheetViews>
    <sheetView showGridLines="0" zoomScaleNormal="100" zoomScaleSheetLayoutView="100" workbookViewId="0">
      <selection activeCell="B21" sqref="B21"/>
    </sheetView>
  </sheetViews>
  <sheetFormatPr defaultRowHeight="21" customHeight="1" x14ac:dyDescent="0.4"/>
  <cols>
    <col min="1" max="1" width="2.5546875" customWidth="1"/>
    <col min="2" max="2" width="43.83203125" customWidth="1"/>
    <col min="3" max="3" width="36.5546875" customWidth="1"/>
    <col min="4" max="4" width="22.71875" customWidth="1"/>
  </cols>
  <sheetData>
    <row r="1" spans="1:4" ht="41.25" customHeight="1" x14ac:dyDescent="0.4">
      <c r="A1" s="5" t="s">
        <v>8</v>
      </c>
      <c r="D1" s="3" t="s">
        <v>69</v>
      </c>
    </row>
    <row r="2" spans="1:4" ht="170.1" customHeight="1" x14ac:dyDescent="0.4">
      <c r="B2" s="80" t="s">
        <v>66</v>
      </c>
      <c r="C2" s="81"/>
      <c r="D2" s="82"/>
    </row>
    <row r="3" spans="1:4" ht="10" customHeight="1" x14ac:dyDescent="0.4">
      <c r="B3" s="10"/>
      <c r="C3" s="12"/>
      <c r="D3" s="12"/>
    </row>
    <row r="4" spans="1:4" ht="21" customHeight="1" x14ac:dyDescent="0.4">
      <c r="B4" s="1" t="s">
        <v>74</v>
      </c>
    </row>
    <row r="5" spans="1:4" ht="21" customHeight="1" x14ac:dyDescent="0.4">
      <c r="B5" s="6" t="s">
        <v>82</v>
      </c>
      <c r="C5" s="7" t="s">
        <v>59</v>
      </c>
      <c r="D5" s="9" t="s">
        <v>64</v>
      </c>
    </row>
    <row r="6" spans="1:4" ht="21" customHeight="1" x14ac:dyDescent="0.4">
      <c r="B6" s="2" t="s">
        <v>70</v>
      </c>
      <c r="D6" s="4">
        <v>587.88</v>
      </c>
    </row>
    <row r="7" spans="1:4" ht="21" customHeight="1" x14ac:dyDescent="0.4">
      <c r="B7" s="2" t="s">
        <v>71</v>
      </c>
      <c r="D7" s="4">
        <v>959.88</v>
      </c>
    </row>
    <row r="8" spans="1:4" ht="21" customHeight="1" x14ac:dyDescent="0.4">
      <c r="B8" s="2" t="s">
        <v>75</v>
      </c>
      <c r="D8" s="4">
        <v>15.17</v>
      </c>
    </row>
    <row r="9" spans="1:4" ht="21" customHeight="1" x14ac:dyDescent="0.4">
      <c r="B9" s="2" t="s">
        <v>79</v>
      </c>
      <c r="D9" s="4">
        <v>74.19</v>
      </c>
    </row>
    <row r="10" spans="1:4" ht="21" customHeight="1" x14ac:dyDescent="0.4">
      <c r="B10" s="27" t="s">
        <v>80</v>
      </c>
      <c r="D10" s="4">
        <v>1029.48</v>
      </c>
    </row>
    <row r="11" spans="1:4" ht="21" customHeight="1" x14ac:dyDescent="0.4">
      <c r="B11" s="28" t="s">
        <v>81</v>
      </c>
      <c r="D11" s="4">
        <v>755.88</v>
      </c>
    </row>
    <row r="12" spans="1:4" ht="21" customHeight="1" x14ac:dyDescent="0.4">
      <c r="B12" s="29" t="s">
        <v>83</v>
      </c>
      <c r="D12" s="4">
        <v>10320</v>
      </c>
    </row>
    <row r="13" spans="1:4" ht="21" customHeight="1" x14ac:dyDescent="0.4">
      <c r="B13" s="2" t="s">
        <v>47</v>
      </c>
      <c r="D13" s="4">
        <f>SUBTOTAL(109,RealEstate[AMOUNT])</f>
        <v>13742.48</v>
      </c>
    </row>
    <row r="14" spans="1:4" ht="21" customHeight="1" x14ac:dyDescent="0.4">
      <c r="B14" s="83"/>
      <c r="C14" s="83"/>
      <c r="D14" s="83"/>
    </row>
    <row r="15" spans="1:4" ht="21" customHeight="1" x14ac:dyDescent="0.4">
      <c r="B15" s="6" t="s">
        <v>72</v>
      </c>
      <c r="C15" s="7" t="s">
        <v>59</v>
      </c>
      <c r="D15" s="9" t="s">
        <v>64</v>
      </c>
    </row>
    <row r="16" spans="1:4" ht="21" customHeight="1" x14ac:dyDescent="0.4">
      <c r="B16" s="2" t="s">
        <v>76</v>
      </c>
      <c r="D16" s="4">
        <v>35</v>
      </c>
    </row>
    <row r="17" spans="2:4" ht="21" customHeight="1" x14ac:dyDescent="0.4">
      <c r="B17" s="27" t="s">
        <v>86</v>
      </c>
      <c r="D17" s="4">
        <v>25</v>
      </c>
    </row>
    <row r="18" spans="2:4" ht="21" customHeight="1" x14ac:dyDescent="0.4">
      <c r="B18" s="2" t="s">
        <v>77</v>
      </c>
      <c r="D18" s="4"/>
    </row>
    <row r="19" spans="2:4" ht="21" customHeight="1" x14ac:dyDescent="0.4">
      <c r="B19" s="2" t="s">
        <v>78</v>
      </c>
      <c r="D19" s="4">
        <v>0</v>
      </c>
    </row>
    <row r="20" spans="2:4" ht="21" customHeight="1" x14ac:dyDescent="0.4">
      <c r="B20" s="2" t="s">
        <v>84</v>
      </c>
      <c r="D20" s="4">
        <v>0</v>
      </c>
    </row>
    <row r="21" spans="2:4" ht="21" customHeight="1" x14ac:dyDescent="0.4">
      <c r="B21" s="27" t="s">
        <v>85</v>
      </c>
      <c r="D21" s="4"/>
    </row>
    <row r="22" spans="2:4" ht="21" customHeight="1" x14ac:dyDescent="0.4">
      <c r="B22" s="28" t="s">
        <v>116</v>
      </c>
      <c r="D22" s="4"/>
    </row>
    <row r="23" spans="2:4" ht="21" customHeight="1" x14ac:dyDescent="0.4">
      <c r="B23" s="2" t="s">
        <v>47</v>
      </c>
      <c r="D23" s="4">
        <f>SUBTOTAL(109,Improvements[AMOUNT])</f>
        <v>60</v>
      </c>
    </row>
    <row r="24" spans="2:4" ht="21" customHeight="1" x14ac:dyDescent="0.4">
      <c r="B24" s="83"/>
      <c r="C24" s="83"/>
      <c r="D24" s="83"/>
    </row>
    <row r="25" spans="2:4" ht="21" customHeight="1" x14ac:dyDescent="0.4">
      <c r="B25" s="6" t="s">
        <v>49</v>
      </c>
      <c r="C25" s="7" t="s">
        <v>59</v>
      </c>
      <c r="D25" s="9" t="s">
        <v>64</v>
      </c>
    </row>
    <row r="26" spans="2:4" ht="21" customHeight="1" x14ac:dyDescent="0.4">
      <c r="B26" s="2" t="s">
        <v>89</v>
      </c>
      <c r="D26" s="4">
        <v>0</v>
      </c>
    </row>
    <row r="27" spans="2:4" ht="21" customHeight="1" x14ac:dyDescent="0.4">
      <c r="B27" s="2" t="s">
        <v>90</v>
      </c>
      <c r="D27" s="4">
        <v>0</v>
      </c>
    </row>
    <row r="28" spans="2:4" ht="21" customHeight="1" x14ac:dyDescent="0.4">
      <c r="B28" s="2" t="s">
        <v>10</v>
      </c>
      <c r="D28" s="4">
        <v>0</v>
      </c>
    </row>
    <row r="29" spans="2:4" ht="21" customHeight="1" x14ac:dyDescent="0.4">
      <c r="B29" s="2" t="s">
        <v>11</v>
      </c>
      <c r="D29" s="4">
        <v>0</v>
      </c>
    </row>
    <row r="30" spans="2:4" ht="21" customHeight="1" x14ac:dyDescent="0.4">
      <c r="B30" s="2" t="s">
        <v>9</v>
      </c>
      <c r="D30" s="4">
        <v>0</v>
      </c>
    </row>
    <row r="31" spans="2:4" ht="21" customHeight="1" x14ac:dyDescent="0.4">
      <c r="B31" s="2" t="s">
        <v>47</v>
      </c>
      <c r="D31" s="4">
        <f>SUBTOTAL(109,Capital[AMOUNT])</f>
        <v>0</v>
      </c>
    </row>
    <row r="32" spans="2:4" ht="21" customHeight="1" x14ac:dyDescent="0.4">
      <c r="B32" s="83"/>
      <c r="C32" s="83"/>
      <c r="D32" s="83"/>
    </row>
    <row r="33" spans="2:4" ht="21" customHeight="1" x14ac:dyDescent="0.4">
      <c r="B33" s="6" t="s">
        <v>50</v>
      </c>
      <c r="C33" s="7" t="s">
        <v>59</v>
      </c>
      <c r="D33" s="9" t="s">
        <v>64</v>
      </c>
    </row>
    <row r="34" spans="2:4" ht="21" customHeight="1" x14ac:dyDescent="0.4">
      <c r="B34" s="2" t="s">
        <v>12</v>
      </c>
      <c r="D34" s="4">
        <v>0</v>
      </c>
    </row>
    <row r="35" spans="2:4" ht="21" customHeight="1" x14ac:dyDescent="0.4">
      <c r="B35" s="2" t="s">
        <v>13</v>
      </c>
      <c r="D35" s="4">
        <v>0</v>
      </c>
    </row>
    <row r="36" spans="2:4" ht="21" customHeight="1" x14ac:dyDescent="0.4">
      <c r="B36" s="2" t="s">
        <v>14</v>
      </c>
      <c r="D36" s="4">
        <v>0</v>
      </c>
    </row>
    <row r="37" spans="2:4" ht="21" customHeight="1" x14ac:dyDescent="0.4">
      <c r="B37" s="2" t="s">
        <v>15</v>
      </c>
      <c r="D37" s="4">
        <v>0</v>
      </c>
    </row>
    <row r="38" spans="2:4" ht="21" customHeight="1" x14ac:dyDescent="0.4">
      <c r="B38" s="2" t="s">
        <v>16</v>
      </c>
      <c r="D38" s="4">
        <v>0</v>
      </c>
    </row>
    <row r="39" spans="2:4" ht="21" customHeight="1" x14ac:dyDescent="0.4">
      <c r="B39" s="2" t="s">
        <v>9</v>
      </c>
      <c r="D39" s="4">
        <v>0</v>
      </c>
    </row>
    <row r="40" spans="2:4" ht="21" customHeight="1" x14ac:dyDescent="0.4">
      <c r="B40" s="2" t="s">
        <v>47</v>
      </c>
      <c r="D40" s="4">
        <f>SUBTOTAL(109,AdminExpenses[AMOUNT])</f>
        <v>0</v>
      </c>
    </row>
    <row r="41" spans="2:4" ht="21" customHeight="1" x14ac:dyDescent="0.4">
      <c r="B41" s="83"/>
      <c r="C41" s="83"/>
      <c r="D41" s="83"/>
    </row>
    <row r="42" spans="2:4" ht="21" customHeight="1" x14ac:dyDescent="0.4">
      <c r="B42" s="6" t="s">
        <v>51</v>
      </c>
      <c r="C42" s="7" t="s">
        <v>59</v>
      </c>
      <c r="D42" s="9" t="s">
        <v>64</v>
      </c>
    </row>
    <row r="43" spans="2:4" ht="21" customHeight="1" x14ac:dyDescent="0.4">
      <c r="B43" s="2" t="s">
        <v>91</v>
      </c>
      <c r="D43" s="4">
        <v>0</v>
      </c>
    </row>
    <row r="44" spans="2:4" ht="21" customHeight="1" x14ac:dyDescent="0.4">
      <c r="B44" s="2" t="s">
        <v>92</v>
      </c>
      <c r="D44" s="4">
        <v>0</v>
      </c>
    </row>
    <row r="45" spans="2:4" ht="21" customHeight="1" x14ac:dyDescent="0.4">
      <c r="B45" s="2" t="s">
        <v>93</v>
      </c>
      <c r="D45" s="4">
        <v>0</v>
      </c>
    </row>
    <row r="46" spans="2:4" ht="21" customHeight="1" x14ac:dyDescent="0.4">
      <c r="B46" s="2" t="s">
        <v>17</v>
      </c>
      <c r="D46" s="4">
        <v>0</v>
      </c>
    </row>
    <row r="47" spans="2:4" ht="21" customHeight="1" x14ac:dyDescent="0.4">
      <c r="B47" s="2" t="s">
        <v>18</v>
      </c>
      <c r="D47" s="4">
        <v>0</v>
      </c>
    </row>
    <row r="48" spans="2:4" ht="21" customHeight="1" x14ac:dyDescent="0.4">
      <c r="B48" s="2" t="s">
        <v>47</v>
      </c>
      <c r="D48" s="4">
        <f>SUBTOTAL(109,OpeningInventory[AMOUNT])</f>
        <v>0</v>
      </c>
    </row>
    <row r="49" spans="2:4" ht="21" customHeight="1" x14ac:dyDescent="0.4">
      <c r="B49" s="83"/>
      <c r="C49" s="83"/>
      <c r="D49" s="83"/>
    </row>
    <row r="50" spans="2:4" ht="21" customHeight="1" x14ac:dyDescent="0.4">
      <c r="B50" s="6" t="s">
        <v>52</v>
      </c>
      <c r="C50" s="7" t="s">
        <v>59</v>
      </c>
      <c r="D50" s="9" t="s">
        <v>64</v>
      </c>
    </row>
    <row r="51" spans="2:4" ht="21" customHeight="1" x14ac:dyDescent="0.4">
      <c r="B51" s="2" t="s">
        <v>19</v>
      </c>
      <c r="D51" s="4">
        <v>0</v>
      </c>
    </row>
    <row r="52" spans="2:4" ht="21" customHeight="1" x14ac:dyDescent="0.4">
      <c r="B52" s="2" t="s">
        <v>20</v>
      </c>
      <c r="D52" s="4">
        <v>0</v>
      </c>
    </row>
    <row r="53" spans="2:4" ht="21" customHeight="1" x14ac:dyDescent="0.4">
      <c r="B53" s="2" t="s">
        <v>21</v>
      </c>
      <c r="D53" s="4">
        <v>0</v>
      </c>
    </row>
    <row r="54" spans="2:4" ht="21" customHeight="1" x14ac:dyDescent="0.4">
      <c r="B54" s="2" t="s">
        <v>22</v>
      </c>
      <c r="D54" s="4">
        <v>0</v>
      </c>
    </row>
    <row r="55" spans="2:4" ht="21" customHeight="1" x14ac:dyDescent="0.4">
      <c r="B55" s="2" t="s">
        <v>23</v>
      </c>
      <c r="D55" s="4">
        <v>0</v>
      </c>
    </row>
    <row r="56" spans="2:4" ht="21" customHeight="1" x14ac:dyDescent="0.4">
      <c r="B56" s="2" t="s">
        <v>47</v>
      </c>
      <c r="D56" s="4">
        <f>SUBTOTAL(109,PromoExpenses[AMOUNT])</f>
        <v>0</v>
      </c>
    </row>
    <row r="57" spans="2:4" ht="21" customHeight="1" x14ac:dyDescent="0.4">
      <c r="B57" s="83"/>
      <c r="C57" s="83"/>
      <c r="D57" s="83"/>
    </row>
    <row r="58" spans="2:4" ht="21" customHeight="1" x14ac:dyDescent="0.4">
      <c r="B58" s="6" t="s">
        <v>53</v>
      </c>
      <c r="C58" s="7" t="s">
        <v>59</v>
      </c>
      <c r="D58" s="9" t="s">
        <v>64</v>
      </c>
    </row>
    <row r="59" spans="2:4" ht="21" customHeight="1" x14ac:dyDescent="0.4">
      <c r="B59" s="2" t="s">
        <v>24</v>
      </c>
      <c r="D59" s="4">
        <v>0</v>
      </c>
    </row>
    <row r="60" spans="2:4" ht="21" customHeight="1" x14ac:dyDescent="0.4">
      <c r="B60" s="2" t="s">
        <v>25</v>
      </c>
      <c r="D60" s="4">
        <v>0</v>
      </c>
    </row>
    <row r="61" spans="2:4" ht="21" customHeight="1" x14ac:dyDescent="0.4">
      <c r="B61" s="2" t="s">
        <v>47</v>
      </c>
      <c r="D61" s="4">
        <f>SUBTOTAL(109,OtherExpenses[AMOUNT])</f>
        <v>0</v>
      </c>
    </row>
    <row r="62" spans="2:4" ht="21" customHeight="1" x14ac:dyDescent="0.4">
      <c r="B62" s="83"/>
      <c r="C62" s="83"/>
      <c r="D62" s="83"/>
    </row>
    <row r="63" spans="2:4" ht="21" customHeight="1" x14ac:dyDescent="0.4">
      <c r="B63" s="17" t="s">
        <v>26</v>
      </c>
      <c r="C63" s="18"/>
      <c r="D63" s="19">
        <v>0</v>
      </c>
    </row>
    <row r="64" spans="2:4" ht="10" customHeight="1" x14ac:dyDescent="0.4">
      <c r="B64" s="83"/>
      <c r="C64" s="83"/>
      <c r="D64" s="83"/>
    </row>
    <row r="65" spans="2:4" ht="180" customHeight="1" x14ac:dyDescent="0.4">
      <c r="B65" s="17" t="s">
        <v>27</v>
      </c>
      <c r="C65" s="18"/>
      <c r="D65" s="19">
        <v>0</v>
      </c>
    </row>
    <row r="66" spans="2:4" ht="10" customHeight="1" x14ac:dyDescent="0.4">
      <c r="B66" s="83"/>
      <c r="C66" s="83"/>
      <c r="D66" s="83"/>
    </row>
    <row r="67" spans="2:4" ht="21" customHeight="1" x14ac:dyDescent="0.4">
      <c r="B67" s="80" t="s">
        <v>65</v>
      </c>
      <c r="C67" s="84"/>
      <c r="D67" s="85"/>
    </row>
    <row r="68" spans="2:4" ht="21" customHeight="1" x14ac:dyDescent="0.4">
      <c r="B68" s="10"/>
      <c r="C68" s="11"/>
      <c r="D68" s="11"/>
    </row>
    <row r="69" spans="2:4" ht="21" customHeight="1" x14ac:dyDescent="0.4">
      <c r="B69" s="1" t="s">
        <v>0</v>
      </c>
    </row>
    <row r="70" spans="2:4" ht="21" customHeight="1" x14ac:dyDescent="0.4">
      <c r="B70" s="6" t="s">
        <v>68</v>
      </c>
      <c r="C70" s="7" t="s">
        <v>59</v>
      </c>
      <c r="D70" s="9" t="s">
        <v>64</v>
      </c>
    </row>
    <row r="71" spans="2:4" ht="21" customHeight="1" x14ac:dyDescent="0.4">
      <c r="B71" s="2" t="s">
        <v>88</v>
      </c>
      <c r="D71" s="4">
        <v>0</v>
      </c>
    </row>
    <row r="72" spans="2:4" ht="21" customHeight="1" x14ac:dyDescent="0.4">
      <c r="B72" s="2" t="s">
        <v>1</v>
      </c>
      <c r="D72" s="4">
        <v>0</v>
      </c>
    </row>
    <row r="73" spans="2:4" ht="21" customHeight="1" x14ac:dyDescent="0.4">
      <c r="B73" s="2" t="s">
        <v>1</v>
      </c>
      <c r="D73" s="4">
        <v>0</v>
      </c>
    </row>
    <row r="74" spans="2:4" ht="21" customHeight="1" x14ac:dyDescent="0.4">
      <c r="B74" s="2" t="s">
        <v>1</v>
      </c>
      <c r="D74" s="4">
        <v>0</v>
      </c>
    </row>
    <row r="75" spans="2:4" ht="21" customHeight="1" x14ac:dyDescent="0.4">
      <c r="B75" s="2" t="s">
        <v>47</v>
      </c>
      <c r="D75" s="4">
        <f>SUBTOTAL(109,OwnersInvestments[AMOUNT])</f>
        <v>0</v>
      </c>
    </row>
    <row r="76" spans="2:4" ht="21" customHeight="1" x14ac:dyDescent="0.4">
      <c r="B76" s="83"/>
      <c r="C76" s="83"/>
      <c r="D76" s="83"/>
    </row>
    <row r="77" spans="2:4" ht="21" customHeight="1" x14ac:dyDescent="0.4">
      <c r="B77" s="6" t="s">
        <v>54</v>
      </c>
      <c r="C77" s="7" t="s">
        <v>59</v>
      </c>
      <c r="D77" s="9" t="s">
        <v>64</v>
      </c>
    </row>
    <row r="78" spans="2:4" ht="21" customHeight="1" x14ac:dyDescent="0.4">
      <c r="B78" s="2" t="s">
        <v>2</v>
      </c>
      <c r="D78" s="4">
        <v>0</v>
      </c>
    </row>
    <row r="79" spans="2:4" ht="21" customHeight="1" x14ac:dyDescent="0.4">
      <c r="B79" s="2" t="s">
        <v>3</v>
      </c>
      <c r="D79" s="4">
        <v>0</v>
      </c>
    </row>
    <row r="80" spans="2:4" ht="21" customHeight="1" x14ac:dyDescent="0.4">
      <c r="B80" s="2" t="s">
        <v>4</v>
      </c>
      <c r="D80" s="4">
        <v>0</v>
      </c>
    </row>
    <row r="81" spans="2:4" ht="21" customHeight="1" x14ac:dyDescent="0.4">
      <c r="B81" s="2" t="s">
        <v>5</v>
      </c>
      <c r="D81" s="4">
        <v>0</v>
      </c>
    </row>
    <row r="82" spans="2:4" ht="21" customHeight="1" x14ac:dyDescent="0.4">
      <c r="B82" s="2" t="s">
        <v>47</v>
      </c>
      <c r="D82" s="4">
        <f>SUBTOTAL(109,BankLoans[AMOUNT])</f>
        <v>0</v>
      </c>
    </row>
    <row r="83" spans="2:4" ht="21" customHeight="1" x14ac:dyDescent="0.4">
      <c r="B83" s="83"/>
      <c r="C83" s="83"/>
      <c r="D83" s="83"/>
    </row>
    <row r="84" spans="2:4" ht="21" customHeight="1" x14ac:dyDescent="0.4">
      <c r="B84" s="6" t="s">
        <v>55</v>
      </c>
      <c r="C84" s="7" t="s">
        <v>59</v>
      </c>
      <c r="D84" s="9" t="s">
        <v>64</v>
      </c>
    </row>
    <row r="85" spans="2:4" ht="21" customHeight="1" x14ac:dyDescent="0.4">
      <c r="B85" s="2" t="s">
        <v>6</v>
      </c>
      <c r="D85" s="4">
        <v>0</v>
      </c>
    </row>
    <row r="86" spans="2:4" ht="10" customHeight="1" x14ac:dyDescent="0.4">
      <c r="B86" s="2" t="s">
        <v>7</v>
      </c>
      <c r="D86" s="4">
        <v>0</v>
      </c>
    </row>
    <row r="87" spans="2:4" ht="60" customHeight="1" x14ac:dyDescent="0.4">
      <c r="B87" s="2" t="s">
        <v>47</v>
      </c>
      <c r="D87" s="4">
        <f>SUBTOTAL(109,OtherLoans[AMOUNT])</f>
        <v>0</v>
      </c>
    </row>
    <row r="88" spans="2:4" ht="10" customHeight="1" x14ac:dyDescent="0.4">
      <c r="B88" s="83"/>
      <c r="C88" s="83"/>
      <c r="D88" s="83"/>
    </row>
    <row r="89" spans="2:4" ht="21" customHeight="1" x14ac:dyDescent="0.4">
      <c r="B89" s="80" t="s">
        <v>67</v>
      </c>
      <c r="C89" s="84"/>
      <c r="D89" s="85"/>
    </row>
    <row r="90" spans="2:4" ht="21" customHeight="1" x14ac:dyDescent="0.4">
      <c r="B90" s="10"/>
      <c r="C90" s="11"/>
      <c r="D90" s="11"/>
    </row>
    <row r="91" spans="2:4" ht="21" customHeight="1" x14ac:dyDescent="0.4">
      <c r="B91" s="1" t="s">
        <v>28</v>
      </c>
    </row>
    <row r="92" spans="2:4" ht="21" customHeight="1" x14ac:dyDescent="0.4">
      <c r="B92" s="6" t="s">
        <v>48</v>
      </c>
      <c r="C92" s="7" t="s">
        <v>59</v>
      </c>
      <c r="D92" s="9" t="s">
        <v>63</v>
      </c>
    </row>
    <row r="93" spans="2:4" ht="21" customHeight="1" x14ac:dyDescent="0.4">
      <c r="B93" s="2" t="s">
        <v>29</v>
      </c>
      <c r="D93" s="4">
        <f>OwnersInvestments[[#Totals],[AMOUNT]]</f>
        <v>0</v>
      </c>
    </row>
    <row r="94" spans="2:4" ht="21" customHeight="1" x14ac:dyDescent="0.4">
      <c r="B94" s="2" t="s">
        <v>30</v>
      </c>
      <c r="D94" s="4">
        <f>BankLoans[[#Totals],[AMOUNT]]</f>
        <v>0</v>
      </c>
    </row>
    <row r="95" spans="2:4" ht="21" customHeight="1" x14ac:dyDescent="0.4">
      <c r="B95" s="2" t="s">
        <v>31</v>
      </c>
      <c r="D95" s="4">
        <f>OtherLoans[[#Totals],[AMOUNT]]</f>
        <v>0</v>
      </c>
    </row>
    <row r="96" spans="2:4" ht="21" customHeight="1" x14ac:dyDescent="0.4">
      <c r="B96" s="2" t="s">
        <v>47</v>
      </c>
      <c r="D96" s="4">
        <f>SUBTOTAL(109,CapitalSources[TOTALS])</f>
        <v>0</v>
      </c>
    </row>
    <row r="97" spans="2:4" ht="21" customHeight="1" x14ac:dyDescent="0.4">
      <c r="B97" s="83"/>
      <c r="C97" s="83"/>
      <c r="D97" s="83"/>
    </row>
    <row r="98" spans="2:4" ht="21" customHeight="1" x14ac:dyDescent="0.4">
      <c r="B98" s="6" t="s">
        <v>8</v>
      </c>
      <c r="C98" s="7" t="s">
        <v>59</v>
      </c>
      <c r="D98" s="9" t="s">
        <v>63</v>
      </c>
    </row>
    <row r="99" spans="2:4" ht="21" customHeight="1" x14ac:dyDescent="0.4">
      <c r="B99" s="2" t="s">
        <v>32</v>
      </c>
      <c r="D99" s="4">
        <f>RealEstate[[#Totals],[AMOUNT]]</f>
        <v>13742.48</v>
      </c>
    </row>
    <row r="100" spans="2:4" ht="21" customHeight="1" x14ac:dyDescent="0.4">
      <c r="B100" s="2" t="s">
        <v>33</v>
      </c>
      <c r="D100" s="4">
        <f>Improvements[[#Totals],[AMOUNT]]</f>
        <v>60</v>
      </c>
    </row>
    <row r="101" spans="2:4" ht="21" customHeight="1" x14ac:dyDescent="0.4">
      <c r="B101" s="2" t="s">
        <v>34</v>
      </c>
      <c r="D101" s="4">
        <f>Capital[[#Totals],[AMOUNT]]</f>
        <v>0</v>
      </c>
    </row>
    <row r="102" spans="2:4" ht="21" customHeight="1" x14ac:dyDescent="0.4">
      <c r="B102" s="2" t="s">
        <v>35</v>
      </c>
      <c r="D102" s="4">
        <f>AdminExpenses[[#Totals],[AMOUNT]]</f>
        <v>0</v>
      </c>
    </row>
    <row r="103" spans="2:4" ht="21" customHeight="1" x14ac:dyDescent="0.4">
      <c r="B103" s="2" t="s">
        <v>36</v>
      </c>
      <c r="D103" s="4">
        <f>OpeningInventory[[#Totals],[AMOUNT]]</f>
        <v>0</v>
      </c>
    </row>
    <row r="104" spans="2:4" ht="21" customHeight="1" x14ac:dyDescent="0.4">
      <c r="B104" s="2" t="s">
        <v>37</v>
      </c>
      <c r="D104" s="4">
        <f>PromoExpenses[[#Totals],[AMOUNT]]</f>
        <v>0</v>
      </c>
    </row>
    <row r="105" spans="2:4" ht="21" customHeight="1" x14ac:dyDescent="0.4">
      <c r="B105" s="2" t="s">
        <v>38</v>
      </c>
      <c r="D105" s="4">
        <f>OtherExpenses[[#Totals],[AMOUNT]]</f>
        <v>0</v>
      </c>
    </row>
    <row r="106" spans="2:4" ht="21" customHeight="1" x14ac:dyDescent="0.4">
      <c r="B106" s="2" t="s">
        <v>39</v>
      </c>
      <c r="D106" s="4">
        <f>SUM('Startup Expenses'!$C$63)</f>
        <v>0</v>
      </c>
    </row>
    <row r="107" spans="2:4" ht="21" customHeight="1" x14ac:dyDescent="0.4">
      <c r="B107" s="2" t="s">
        <v>40</v>
      </c>
      <c r="D107" s="4">
        <f>SUM('Startup Expenses'!$C$65)</f>
        <v>0</v>
      </c>
    </row>
    <row r="108" spans="2:4" ht="21" customHeight="1" x14ac:dyDescent="0.4">
      <c r="B108" s="2" t="s">
        <v>47</v>
      </c>
      <c r="D108" s="4">
        <f>SUBTOTAL(109,StartupExpenses[TOTALS])</f>
        <v>13802.48</v>
      </c>
    </row>
    <row r="109" spans="2:4" ht="21" customHeight="1" x14ac:dyDescent="0.4">
      <c r="B109" s="83"/>
      <c r="C109" s="83"/>
      <c r="D109" s="83"/>
    </row>
    <row r="110" spans="2:4" ht="21" customHeight="1" x14ac:dyDescent="0.4">
      <c r="B110" s="1" t="s">
        <v>41</v>
      </c>
    </row>
    <row r="111" spans="2:4" ht="21" customHeight="1" x14ac:dyDescent="0.4">
      <c r="B111" s="6" t="s">
        <v>56</v>
      </c>
      <c r="C111" s="8" t="s">
        <v>61</v>
      </c>
      <c r="D111" s="9" t="s">
        <v>62</v>
      </c>
    </row>
    <row r="112" spans="2:4" ht="21" customHeight="1" x14ac:dyDescent="0.4">
      <c r="B112" s="2" t="s">
        <v>42</v>
      </c>
      <c r="D112" s="4">
        <v>0</v>
      </c>
    </row>
    <row r="113" spans="2:4" ht="21" customHeight="1" x14ac:dyDescent="0.4">
      <c r="B113" s="2" t="s">
        <v>43</v>
      </c>
      <c r="D113" s="4">
        <v>0</v>
      </c>
    </row>
    <row r="114" spans="2:4" ht="21" customHeight="1" x14ac:dyDescent="0.4">
      <c r="B114" s="2" t="s">
        <v>43</v>
      </c>
      <c r="D114" s="4">
        <v>0</v>
      </c>
    </row>
    <row r="115" spans="2:4" ht="21" customHeight="1" x14ac:dyDescent="0.4">
      <c r="B115" s="2" t="s">
        <v>43</v>
      </c>
      <c r="D115" s="4">
        <v>0</v>
      </c>
    </row>
    <row r="116" spans="2:4" ht="21" customHeight="1" x14ac:dyDescent="0.4">
      <c r="B116" s="2" t="s">
        <v>47</v>
      </c>
      <c r="D116" s="4">
        <f>SUBTOTAL(109,Collateral[VALUE])</f>
        <v>0</v>
      </c>
    </row>
    <row r="117" spans="2:4" ht="21" customHeight="1" thickBot="1" x14ac:dyDescent="0.45">
      <c r="B117" s="83"/>
      <c r="C117" s="83"/>
      <c r="D117" s="83"/>
    </row>
    <row r="118" spans="2:4" ht="21" customHeight="1" x14ac:dyDescent="0.4">
      <c r="B118" s="24" t="s">
        <v>57</v>
      </c>
      <c r="C118" s="20" t="s">
        <v>59</v>
      </c>
      <c r="D118" s="21" t="s">
        <v>60</v>
      </c>
    </row>
    <row r="119" spans="2:4" ht="21" customHeight="1" x14ac:dyDescent="0.4">
      <c r="B119" s="22" t="s">
        <v>87</v>
      </c>
      <c r="C119" s="23"/>
      <c r="D119" s="23"/>
    </row>
    <row r="120" spans="2:4" ht="21" customHeight="1" thickBot="1" x14ac:dyDescent="0.45">
      <c r="B120" s="83"/>
      <c r="C120" s="83"/>
      <c r="D120" s="83"/>
    </row>
    <row r="121" spans="2:4" ht="21" customHeight="1" x14ac:dyDescent="0.4">
      <c r="B121" s="24" t="s">
        <v>58</v>
      </c>
      <c r="C121" s="20" t="s">
        <v>59</v>
      </c>
      <c r="D121" s="21" t="s">
        <v>60</v>
      </c>
    </row>
    <row r="122" spans="2:4" ht="21" customHeight="1" x14ac:dyDescent="0.4">
      <c r="B122" s="22" t="s">
        <v>44</v>
      </c>
      <c r="C122" s="23"/>
      <c r="D122" s="23"/>
    </row>
    <row r="123" spans="2:4" ht="21" customHeight="1" x14ac:dyDescent="0.4">
      <c r="B123" s="15" t="s">
        <v>45</v>
      </c>
      <c r="C123" s="16"/>
      <c r="D123" s="16"/>
    </row>
    <row r="124" spans="2:4" ht="21" customHeight="1" x14ac:dyDescent="0.4">
      <c r="B124" s="13" t="s">
        <v>46</v>
      </c>
      <c r="C124" s="14"/>
      <c r="D124" s="14"/>
    </row>
  </sheetData>
  <mergeCells count="19">
    <mergeCell ref="B66:D66"/>
    <mergeCell ref="B67:D67"/>
    <mergeCell ref="B89:D89"/>
    <mergeCell ref="B2:D2"/>
    <mergeCell ref="B57:D57"/>
    <mergeCell ref="B62:D62"/>
    <mergeCell ref="B76:D76"/>
    <mergeCell ref="B120:D120"/>
    <mergeCell ref="B14:D14"/>
    <mergeCell ref="B24:D24"/>
    <mergeCell ref="B32:D32"/>
    <mergeCell ref="B41:D41"/>
    <mergeCell ref="B49:D49"/>
    <mergeCell ref="B83:D83"/>
    <mergeCell ref="B88:D88"/>
    <mergeCell ref="B97:D97"/>
    <mergeCell ref="B109:D109"/>
    <mergeCell ref="B117:D117"/>
    <mergeCell ref="B64:D64"/>
  </mergeCells>
  <dataValidations xWindow="196" yWindow="358" count="42">
    <dataValidation allowBlank="1" showInputMessage="1" showErrorMessage="1" prompt="Create Startup Expenses in this worksheet. Enter Company Name in cell D1 and details in tables starting under Startup Expenses label in cell B4. Tips are in cell B2, B61, and B83" sqref="A1" xr:uid="{00000000-0002-0000-0000-000000000000}"/>
    <dataValidation allowBlank="1" showInputMessage="1" showErrorMessage="1" prompt="Title of this worksheet is in this cell and Tip in cell below" sqref="B1" xr:uid="{00000000-0002-0000-0000-000001000000}"/>
    <dataValidation allowBlank="1" showInputMessage="1" showErrorMessage="1" prompt="Enter Company Name in this cell" sqref="D1" xr:uid="{00000000-0002-0000-0000-000002000000}"/>
    <dataValidation allowBlank="1" showInputMessage="1" showErrorMessage="1" prompt="Enter details in Real Estate table below" sqref="B4" xr:uid="{00000000-0002-0000-0000-000003000000}"/>
    <dataValidation allowBlank="1" showInputMessage="1" showErrorMessage="1" prompt="Enter or modify Building or Real Estate item in this column under this heading" sqref="B5" xr:uid="{00000000-0002-0000-0000-000004000000}"/>
    <dataValidation allowBlank="1" showInputMessage="1" showErrorMessage="1" prompt="Enter Amount in this column under this heading" sqref="D5 D15 D25 D33 D42 D50 D58 D70 D77 D84" xr:uid="{00000000-0002-0000-0000-000005000000}"/>
    <dataValidation allowBlank="1" showInputMessage="1" showErrorMessage="1" prompt="Enter details in Improvement table below" sqref="B14:D14" xr:uid="{00000000-0002-0000-0000-000006000000}"/>
    <dataValidation allowBlank="1" showInputMessage="1" showErrorMessage="1" prompt="Enter or modify Leasehold Improvements in this column under this heading" sqref="B15" xr:uid="{00000000-0002-0000-0000-000007000000}"/>
    <dataValidation allowBlank="1" showInputMessage="1" showErrorMessage="1" prompt="Enter details in Capital table below" sqref="B24:D24" xr:uid="{00000000-0002-0000-0000-000008000000}"/>
    <dataValidation allowBlank="1" showInputMessage="1" showErrorMessage="1" prompt="Enter or modify Capital Equipment List in this column under this heading" sqref="B25" xr:uid="{00000000-0002-0000-0000-000009000000}"/>
    <dataValidation allowBlank="1" showInputMessage="1" showErrorMessage="1" prompt="Enter details in Admin Expenses table below" sqref="B32:D32" xr:uid="{00000000-0002-0000-0000-00000A000000}"/>
    <dataValidation allowBlank="1" showInputMessage="1" showErrorMessage="1" prompt="Enter or modify Location and Admin Expenses in this column under this heading" sqref="B33" xr:uid="{00000000-0002-0000-0000-00000B000000}"/>
    <dataValidation allowBlank="1" showInputMessage="1" showErrorMessage="1" prompt="Enter details in Opening Inventory table below" sqref="B41:D41" xr:uid="{00000000-0002-0000-0000-00000C000000}"/>
    <dataValidation allowBlank="1" showInputMessage="1" showErrorMessage="1" prompt="Enter or modify Advertising and Promotional Expenses items in this column under this heading" sqref="B50" xr:uid="{00000000-0002-0000-0000-00000D000000}"/>
    <dataValidation allowBlank="1" showInputMessage="1" showErrorMessage="1" prompt="Enter or modify Opening Inventory items in this column under this heading" sqref="B42" xr:uid="{00000000-0002-0000-0000-00000E000000}"/>
    <dataValidation allowBlank="1" showInputMessage="1" showErrorMessage="1" prompt="Enter details in Advertising and Promotional Expenses table below" sqref="B49:D49" xr:uid="{00000000-0002-0000-0000-00000F000000}"/>
    <dataValidation allowBlank="1" showInputMessage="1" showErrorMessage="1" prompt="Enter details in Other Expenses table below" sqref="B57:D57" xr:uid="{00000000-0002-0000-0000-000010000000}"/>
    <dataValidation allowBlank="1" showInputMessage="1" showErrorMessage="1" prompt="Enter or modify Other Expenses items in this column under this heading" sqref="B58" xr:uid="{00000000-0002-0000-0000-000011000000}"/>
    <dataValidation allowBlank="1" showInputMessage="1" showErrorMessage="1" prompt="Enter Reserve for Contingencies in cell D57" sqref="B63" xr:uid="{00000000-0002-0000-0000-000012000000}"/>
    <dataValidation allowBlank="1" showInputMessage="1" showErrorMessage="1" prompt="Enter Working Capital in cell below" sqref="D63" xr:uid="{00000000-0002-0000-0000-000013000000}"/>
    <dataValidation allowBlank="1" showInputMessage="1" showErrorMessage="1" prompt="Enter Working Capital in cell D59" sqref="B65" xr:uid="{00000000-0002-0000-0000-000014000000}"/>
    <dataValidation allowBlank="1" showInputMessage="1" showErrorMessage="1" prompt="Tip is in cell below. Enter details in tables starting under Sources of Capital label in cell B63" sqref="D65" xr:uid="{00000000-0002-0000-0000-000015000000}"/>
    <dataValidation allowBlank="1" showInputMessage="1" showErrorMessage="1" prompt="Enter Owners' Investment Name and Ownership percent in this column under this heading" sqref="B70" xr:uid="{00000000-0002-0000-0000-000016000000}"/>
    <dataValidation allowBlank="1" showInputMessage="1" showErrorMessage="1" prompt="Enter details in Bank Loans table below" sqref="B76:D76" xr:uid="{00000000-0002-0000-0000-000017000000}"/>
    <dataValidation allowBlank="1" showInputMessage="1" showErrorMessage="1" prompt="Enter Bank Loans in this column under this heading" sqref="B77" xr:uid="{00000000-0002-0000-0000-000018000000}"/>
    <dataValidation allowBlank="1" showInputMessage="1" showErrorMessage="1" prompt="Enter details in Other Loans table below" sqref="B83:D83" xr:uid="{00000000-0002-0000-0000-000019000000}"/>
    <dataValidation allowBlank="1" showInputMessage="1" showErrorMessage="1" prompt="Enter Other Loans in this column under this heading" sqref="B84" xr:uid="{00000000-0002-0000-0000-00001A000000}"/>
    <dataValidation allowBlank="1" showInputMessage="1" showErrorMessage="1" prompt="Tip is in cell below. Summary Statement label is in cell B85" sqref="B88:D88" xr:uid="{00000000-0002-0000-0000-00001B000000}"/>
    <dataValidation allowBlank="1" showInputMessage="1" showErrorMessage="1" prompt="Capital Source table starting in cell B86 and Startup Expenses table starting in cell B92 are auto updated " sqref="B91" xr:uid="{00000000-0002-0000-0000-00001C000000}"/>
    <dataValidation allowBlank="1" showInputMessage="1" showErrorMessage="1" prompt="Source of Capital items are in this column under this heading" sqref="B92" xr:uid="{00000000-0002-0000-0000-00001D000000}"/>
    <dataValidation allowBlank="1" showInputMessage="1" showErrorMessage="1" prompt="Totals are auto updated in this column under this heading" sqref="D98 D92" xr:uid="{00000000-0002-0000-0000-00001E000000}"/>
    <dataValidation allowBlank="1" showInputMessage="1" showErrorMessage="1" prompt="Startup Expense items are in this column under this heading" sqref="B98" xr:uid="{00000000-0002-0000-0000-00001F000000}"/>
    <dataValidation allowBlank="1" showInputMessage="1" showErrorMessage="1" prompt="Security and Collateral for Loan Proposal label is in cell below" sqref="B109:D109" xr:uid="{00000000-0002-0000-0000-000020000000}"/>
    <dataValidation allowBlank="1" showInputMessage="1" showErrorMessage="1" prompt="Enter details in Collateral table below" sqref="B110" xr:uid="{00000000-0002-0000-0000-000021000000}"/>
    <dataValidation allowBlank="1" showInputMessage="1" showErrorMessage="1" prompt="Enter Description in this column under this heading" sqref="C111" xr:uid="{00000000-0002-0000-0000-000022000000}"/>
    <dataValidation allowBlank="1" showInputMessage="1" showErrorMessage="1" prompt="Enter Collateral for Loans in this column under this heading" sqref="B111" xr:uid="{00000000-0002-0000-0000-000023000000}"/>
    <dataValidation allowBlank="1" showInputMessage="1" showErrorMessage="1" prompt="Enter Value in this column under this heading" sqref="D111" xr:uid="{00000000-0002-0000-0000-000024000000}"/>
    <dataValidation allowBlank="1" showInputMessage="1" showErrorMessage="1" prompt="Enter details in Owners table below" sqref="B117:D117" xr:uid="{00000000-0002-0000-0000-000025000000}"/>
    <dataValidation allowBlank="1" showInputMessage="1" showErrorMessage="1" prompt="Enter Owners name in this column under this heading" sqref="B118" xr:uid="{00000000-0002-0000-0000-000026000000}"/>
    <dataValidation allowBlank="1" showInputMessage="1" showErrorMessage="1" prompt="Enter details in Guarantors table below" sqref="B120:D120" xr:uid="{00000000-0002-0000-0000-000027000000}"/>
    <dataValidation allowBlank="1" showInputMessage="1" showErrorMessage="1" prompt="Enter Names of Loan Guarantors Other Than Owners in this column under this heading" sqref="B121" xr:uid="{00000000-0002-0000-0000-000028000000}"/>
    <dataValidation allowBlank="1" showInputMessage="1" showErrorMessage="1" prompt="Sources of Capital label is in this cell. Enter details in table below" sqref="B69" xr:uid="{00000000-0002-0000-0000-00002A000000}"/>
  </dataValidations>
  <printOptions horizontalCentered="1"/>
  <pageMargins left="0.25" right="0.25" top="0.75" bottom="0.75" header="0.3" footer="0.3"/>
  <pageSetup fitToHeight="0" orientation="portrait" r:id="rId1"/>
  <headerFooter differentFirst="1">
    <oddFooter>Page &amp;P of &amp;N</oddFooter>
  </headerFooter>
  <ignoredErrors>
    <ignoredError sqref="D106:D107" emptyCellReference="1"/>
  </ignoredErrors>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1CCCC-2860-4C79-8C81-5F2C783EE440}">
  <dimension ref="A1:E5"/>
  <sheetViews>
    <sheetView workbookViewId="0">
      <selection activeCell="D4" sqref="D4"/>
    </sheetView>
  </sheetViews>
  <sheetFormatPr defaultRowHeight="12.3" x14ac:dyDescent="0.4"/>
  <cols>
    <col min="1" max="1" width="41.6640625" bestFit="1" customWidth="1"/>
    <col min="2" max="2" width="8.88671875" style="41"/>
    <col min="3" max="4" width="8.88671875" style="79"/>
  </cols>
  <sheetData>
    <row r="1" spans="1:5" x14ac:dyDescent="0.4">
      <c r="A1" t="s">
        <v>257</v>
      </c>
    </row>
    <row r="2" spans="1:5" x14ac:dyDescent="0.4">
      <c r="A2" t="s">
        <v>278</v>
      </c>
      <c r="B2" s="41" t="s">
        <v>258</v>
      </c>
      <c r="C2" s="79" t="s">
        <v>248</v>
      </c>
      <c r="D2" s="79" t="s">
        <v>281</v>
      </c>
    </row>
    <row r="3" spans="1:5" x14ac:dyDescent="0.4">
      <c r="A3" t="s">
        <v>279</v>
      </c>
      <c r="C3" s="79">
        <v>60</v>
      </c>
      <c r="D3" s="79">
        <v>60</v>
      </c>
      <c r="E3" s="77"/>
    </row>
    <row r="4" spans="1:5" x14ac:dyDescent="0.4">
      <c r="A4" t="s">
        <v>120</v>
      </c>
      <c r="B4" s="41">
        <v>500</v>
      </c>
      <c r="C4" s="79">
        <v>60</v>
      </c>
    </row>
    <row r="5" spans="1:5" x14ac:dyDescent="0.4">
      <c r="A5" t="s">
        <v>280</v>
      </c>
      <c r="B5" s="41">
        <v>46</v>
      </c>
      <c r="C5" s="79">
        <v>40</v>
      </c>
      <c r="D5" s="79">
        <v>1840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CBD07-0FD5-4CAF-974A-29689A221BFC}">
  <sheetPr>
    <tabColor theme="4" tint="0.59999389629810485"/>
  </sheetPr>
  <dimension ref="A1:N14"/>
  <sheetViews>
    <sheetView workbookViewId="0">
      <selection activeCell="C14" sqref="C14"/>
    </sheetView>
  </sheetViews>
  <sheetFormatPr defaultRowHeight="12.3" x14ac:dyDescent="0.4"/>
  <cols>
    <col min="3" max="3" width="13.88671875" style="31" bestFit="1" customWidth="1"/>
    <col min="4" max="4" width="13.88671875" style="31" customWidth="1"/>
    <col min="5" max="5" width="16.6640625" style="31" customWidth="1"/>
    <col min="7" max="7" width="8.88671875" style="25"/>
    <col min="8" max="8" width="8.88671875" style="31"/>
    <col min="10" max="10" width="22.83203125" bestFit="1" customWidth="1"/>
    <col min="11" max="11" width="9.5" bestFit="1" customWidth="1"/>
  </cols>
  <sheetData>
    <row r="1" spans="1:14" ht="12.3" customHeight="1" x14ac:dyDescent="0.4">
      <c r="A1" s="86" t="s">
        <v>101</v>
      </c>
      <c r="B1" s="86"/>
      <c r="C1" s="86"/>
      <c r="D1" s="86"/>
      <c r="E1" s="86"/>
      <c r="F1" s="86"/>
      <c r="G1" s="86"/>
      <c r="H1" s="86"/>
      <c r="I1" s="86"/>
      <c r="J1" s="86"/>
      <c r="K1" s="86"/>
      <c r="L1" s="86"/>
      <c r="M1" s="86"/>
    </row>
    <row r="2" spans="1:14" s="31" customFormat="1" ht="36.9" x14ac:dyDescent="0.4">
      <c r="A2" s="35" t="s">
        <v>98</v>
      </c>
      <c r="B2" s="35" t="s">
        <v>99</v>
      </c>
      <c r="C2" s="35" t="s">
        <v>136</v>
      </c>
      <c r="D2" s="35" t="s">
        <v>141</v>
      </c>
      <c r="E2" s="35" t="s">
        <v>94</v>
      </c>
      <c r="F2" s="35" t="s">
        <v>151</v>
      </c>
      <c r="G2" s="35" t="s">
        <v>142</v>
      </c>
      <c r="H2" s="35" t="s">
        <v>144</v>
      </c>
      <c r="I2" s="35" t="s">
        <v>143</v>
      </c>
      <c r="J2" s="35" t="s">
        <v>96</v>
      </c>
      <c r="K2" s="35" t="s">
        <v>133</v>
      </c>
      <c r="L2" s="35" t="s">
        <v>134</v>
      </c>
      <c r="M2" s="35" t="s">
        <v>135</v>
      </c>
    </row>
    <row r="3" spans="1:14" ht="24.6" x14ac:dyDescent="0.4">
      <c r="A3" s="32" t="s">
        <v>97</v>
      </c>
      <c r="B3" s="32"/>
      <c r="C3" s="35" t="s">
        <v>140</v>
      </c>
      <c r="D3" s="35"/>
      <c r="E3" s="35" t="s">
        <v>95</v>
      </c>
      <c r="F3" s="32">
        <v>5500</v>
      </c>
      <c r="G3" s="36">
        <v>20000</v>
      </c>
      <c r="H3" s="35" t="s">
        <v>145</v>
      </c>
      <c r="I3" s="32"/>
      <c r="J3" s="37" t="s">
        <v>100</v>
      </c>
      <c r="K3" s="32"/>
      <c r="L3" s="32"/>
      <c r="M3" s="32"/>
    </row>
    <row r="4" spans="1:14" ht="24.6" x14ac:dyDescent="0.4">
      <c r="A4" s="38">
        <v>43589</v>
      </c>
      <c r="B4" s="32" t="s">
        <v>242</v>
      </c>
      <c r="C4" s="35" t="s">
        <v>147</v>
      </c>
      <c r="D4" s="35" t="s">
        <v>243</v>
      </c>
      <c r="E4" s="35" t="s">
        <v>146</v>
      </c>
      <c r="F4" s="32"/>
      <c r="G4" s="36"/>
      <c r="H4" s="35"/>
      <c r="I4" s="32"/>
      <c r="J4" s="37"/>
      <c r="K4" s="32"/>
      <c r="L4" s="32"/>
      <c r="M4" s="32"/>
      <c r="N4" t="s">
        <v>244</v>
      </c>
    </row>
    <row r="5" spans="1:14" ht="61.5" x14ac:dyDescent="0.4">
      <c r="A5" s="38">
        <v>11449</v>
      </c>
      <c r="B5" s="38">
        <v>43625</v>
      </c>
      <c r="C5" s="35" t="s">
        <v>149</v>
      </c>
      <c r="D5" s="35"/>
      <c r="E5" s="35" t="s">
        <v>152</v>
      </c>
      <c r="F5" s="32"/>
      <c r="G5" s="36"/>
      <c r="H5" s="35"/>
      <c r="I5" s="32"/>
      <c r="J5" s="37" t="s">
        <v>148</v>
      </c>
      <c r="K5" s="32"/>
      <c r="L5" s="32"/>
      <c r="M5" s="32"/>
    </row>
    <row r="6" spans="1:14" ht="24.6" x14ac:dyDescent="0.4">
      <c r="A6" s="38">
        <v>43609</v>
      </c>
      <c r="B6" s="38">
        <v>43612</v>
      </c>
      <c r="C6" s="39" t="s">
        <v>137</v>
      </c>
      <c r="D6" s="39"/>
      <c r="E6" s="35" t="s">
        <v>102</v>
      </c>
      <c r="F6" s="32"/>
      <c r="G6" s="36">
        <v>500</v>
      </c>
      <c r="H6" s="35"/>
      <c r="I6" s="32"/>
      <c r="J6" s="37" t="s">
        <v>103</v>
      </c>
      <c r="K6" s="32"/>
      <c r="L6" s="32"/>
      <c r="M6" s="32"/>
    </row>
    <row r="7" spans="1:14" ht="24.6" x14ac:dyDescent="0.4">
      <c r="A7" s="38">
        <v>43610</v>
      </c>
      <c r="B7" s="38"/>
      <c r="C7" s="39" t="s">
        <v>150</v>
      </c>
      <c r="D7" s="39"/>
      <c r="E7" s="35"/>
      <c r="F7" s="32"/>
      <c r="G7" s="36"/>
      <c r="H7" s="35"/>
      <c r="I7" s="32"/>
      <c r="J7" s="37"/>
      <c r="K7" s="32"/>
      <c r="L7" s="32"/>
      <c r="M7" s="32"/>
    </row>
    <row r="8" spans="1:14" ht="36.9" x14ac:dyDescent="0.4">
      <c r="A8" s="38">
        <v>43623</v>
      </c>
      <c r="B8" s="32"/>
      <c r="C8" s="35" t="s">
        <v>138</v>
      </c>
      <c r="D8" s="35">
        <v>105000</v>
      </c>
      <c r="E8" s="35" t="s">
        <v>146</v>
      </c>
      <c r="F8" s="32"/>
      <c r="G8" s="36">
        <v>500</v>
      </c>
      <c r="H8" s="35"/>
      <c r="I8" s="32"/>
      <c r="J8" s="32"/>
      <c r="K8" s="32"/>
      <c r="L8" s="32"/>
      <c r="M8" s="32"/>
    </row>
    <row r="9" spans="1:14" ht="24.6" x14ac:dyDescent="0.4">
      <c r="A9" s="32"/>
      <c r="B9" s="32"/>
      <c r="C9" s="35" t="s">
        <v>139</v>
      </c>
      <c r="D9" s="35">
        <v>45000</v>
      </c>
      <c r="E9" s="35"/>
      <c r="F9" s="32"/>
      <c r="G9" s="36"/>
      <c r="H9" s="35"/>
      <c r="I9" s="32"/>
      <c r="J9" s="32"/>
      <c r="K9" s="32"/>
      <c r="L9" s="32"/>
      <c r="M9" s="32"/>
    </row>
    <row r="10" spans="1:14" x14ac:dyDescent="0.4">
      <c r="A10" s="67">
        <v>43609</v>
      </c>
      <c r="C10" s="31" t="s">
        <v>246</v>
      </c>
      <c r="D10" s="31" t="s">
        <v>59</v>
      </c>
    </row>
    <row r="14" spans="1:14" x14ac:dyDescent="0.4">
      <c r="A14" s="67">
        <v>43376</v>
      </c>
      <c r="B14" t="s">
        <v>255</v>
      </c>
    </row>
  </sheetData>
  <mergeCells count="1">
    <mergeCell ref="A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D8E0-99D6-4FD9-8528-0F29C64C42FF}">
  <dimension ref="A1:R53"/>
  <sheetViews>
    <sheetView topLeftCell="A12" workbookViewId="0">
      <selection activeCell="C43" sqref="C43"/>
    </sheetView>
  </sheetViews>
  <sheetFormatPr defaultRowHeight="12.3" x14ac:dyDescent="0.4"/>
  <cols>
    <col min="1" max="1" width="30.94140625" style="26" customWidth="1"/>
    <col min="2" max="2" width="11.33203125" style="26" bestFit="1" customWidth="1"/>
    <col min="3" max="3" width="13.1640625" style="26" customWidth="1"/>
    <col min="4" max="5" width="8.94140625" style="26" bestFit="1" customWidth="1"/>
    <col min="6" max="8" width="8.94140625" style="70" customWidth="1"/>
    <col min="9" max="9" width="8.71875" style="26" bestFit="1" customWidth="1"/>
    <col min="10" max="11" width="8.88671875" style="26"/>
  </cols>
  <sheetData>
    <row r="1" spans="1:18" x14ac:dyDescent="0.4">
      <c r="A1" s="83" t="s">
        <v>192</v>
      </c>
      <c r="B1" s="83"/>
      <c r="C1" s="83"/>
      <c r="D1" s="83"/>
      <c r="E1" s="83"/>
      <c r="F1" s="83"/>
      <c r="G1" s="83"/>
      <c r="H1" s="83"/>
      <c r="I1" s="83"/>
      <c r="J1" s="83"/>
      <c r="K1" s="83"/>
      <c r="L1" s="83"/>
      <c r="M1" s="83"/>
    </row>
    <row r="2" spans="1:18" x14ac:dyDescent="0.4">
      <c r="A2" s="65" t="s">
        <v>222</v>
      </c>
      <c r="B2" s="65" t="s">
        <v>224</v>
      </c>
      <c r="C2" s="65">
        <v>1000</v>
      </c>
      <c r="D2" s="65">
        <v>500</v>
      </c>
      <c r="E2" s="65" t="s">
        <v>225</v>
      </c>
      <c r="F2" s="65"/>
      <c r="G2" s="65"/>
      <c r="H2" s="65"/>
      <c r="I2" s="65" t="s">
        <v>218</v>
      </c>
      <c r="J2" s="26" t="s">
        <v>232</v>
      </c>
      <c r="K2" s="26" t="s">
        <v>233</v>
      </c>
      <c r="L2" s="65" t="s">
        <v>131</v>
      </c>
      <c r="M2" s="66"/>
    </row>
    <row r="3" spans="1:18" x14ac:dyDescent="0.4">
      <c r="A3" s="69" t="s">
        <v>223</v>
      </c>
      <c r="B3" s="63" t="s">
        <v>230</v>
      </c>
      <c r="C3" s="63">
        <v>5.9</v>
      </c>
      <c r="D3" s="63">
        <v>7.12</v>
      </c>
      <c r="E3" s="63">
        <v>3</v>
      </c>
      <c r="F3" s="63"/>
      <c r="G3" s="63"/>
      <c r="H3" s="63"/>
      <c r="I3" s="63">
        <v>3600</v>
      </c>
      <c r="J3" s="26" t="s">
        <v>231</v>
      </c>
      <c r="K3" s="68"/>
    </row>
    <row r="4" spans="1:18" x14ac:dyDescent="0.4">
      <c r="A4" s="69" t="s">
        <v>234</v>
      </c>
      <c r="B4" s="63"/>
      <c r="C4" s="63"/>
      <c r="D4" s="63"/>
      <c r="E4" s="63"/>
      <c r="F4" s="63"/>
      <c r="G4" s="63"/>
      <c r="H4" s="63"/>
      <c r="I4" s="63"/>
    </row>
    <row r="5" spans="1:18" x14ac:dyDescent="0.4">
      <c r="A5" s="69" t="s">
        <v>108</v>
      </c>
      <c r="B5" s="63"/>
      <c r="C5" s="63"/>
      <c r="D5" s="63"/>
      <c r="E5" s="63"/>
      <c r="F5" s="63"/>
      <c r="G5" s="63"/>
      <c r="H5" s="63"/>
      <c r="I5" s="63"/>
    </row>
    <row r="6" spans="1:18" x14ac:dyDescent="0.4">
      <c r="A6" s="69" t="s">
        <v>109</v>
      </c>
      <c r="B6" s="63"/>
      <c r="C6" s="63"/>
      <c r="D6" s="63"/>
      <c r="E6" s="63"/>
      <c r="F6" s="63"/>
      <c r="G6" s="63"/>
      <c r="H6" s="63"/>
      <c r="I6" s="63"/>
    </row>
    <row r="7" spans="1:18" x14ac:dyDescent="0.4">
      <c r="A7" s="69" t="s">
        <v>117</v>
      </c>
      <c r="B7" s="63"/>
      <c r="C7" s="63"/>
      <c r="D7" s="63"/>
      <c r="E7" s="63"/>
      <c r="F7" s="63"/>
      <c r="G7" s="63"/>
      <c r="H7" s="63"/>
      <c r="I7" s="63"/>
    </row>
    <row r="8" spans="1:18" x14ac:dyDescent="0.4">
      <c r="A8" s="69"/>
      <c r="B8" s="63"/>
      <c r="C8" s="63"/>
      <c r="D8" s="63"/>
      <c r="E8" s="63"/>
      <c r="F8" s="63"/>
      <c r="G8" s="63"/>
      <c r="H8" s="63"/>
      <c r="I8" s="63"/>
    </row>
    <row r="10" spans="1:18" x14ac:dyDescent="0.4">
      <c r="A10" s="108" t="s">
        <v>219</v>
      </c>
      <c r="B10" s="108"/>
      <c r="C10" s="108"/>
      <c r="D10" s="108"/>
      <c r="E10" s="108"/>
      <c r="F10" s="108"/>
      <c r="G10" s="108"/>
      <c r="H10" s="108"/>
      <c r="I10" s="108"/>
      <c r="J10" s="108"/>
      <c r="K10" s="108"/>
    </row>
    <row r="11" spans="1:18" s="31" customFormat="1" ht="24.6" x14ac:dyDescent="0.4">
      <c r="A11" s="61" t="s">
        <v>190</v>
      </c>
      <c r="B11" s="98" t="s">
        <v>191</v>
      </c>
      <c r="C11" s="61" t="s">
        <v>216</v>
      </c>
      <c r="D11" s="61" t="s">
        <v>118</v>
      </c>
      <c r="E11" s="61" t="s">
        <v>217</v>
      </c>
      <c r="F11" s="61" t="s">
        <v>235</v>
      </c>
      <c r="G11" s="61" t="s">
        <v>236</v>
      </c>
      <c r="H11" s="61" t="s">
        <v>237</v>
      </c>
      <c r="I11" s="101" t="s">
        <v>221</v>
      </c>
      <c r="J11" s="101" t="s">
        <v>218</v>
      </c>
      <c r="K11" s="101" t="s">
        <v>193</v>
      </c>
      <c r="N11" s="31" t="s">
        <v>233</v>
      </c>
      <c r="O11" s="31" t="s">
        <v>241</v>
      </c>
      <c r="P11" s="31" t="s">
        <v>235</v>
      </c>
      <c r="Q11" s="31" t="s">
        <v>236</v>
      </c>
      <c r="R11" s="31" t="s">
        <v>237</v>
      </c>
    </row>
    <row r="12" spans="1:18" x14ac:dyDescent="0.4">
      <c r="A12" s="64" t="s">
        <v>215</v>
      </c>
      <c r="B12" s="99">
        <f>SUM(C12:E12)*I12+J12</f>
        <v>15525</v>
      </c>
      <c r="C12" s="63">
        <v>6.85</v>
      </c>
      <c r="D12" s="63">
        <v>3</v>
      </c>
      <c r="E12" s="63">
        <v>1.79</v>
      </c>
      <c r="F12" s="63">
        <v>0</v>
      </c>
      <c r="G12" s="63">
        <v>0</v>
      </c>
      <c r="H12" s="63">
        <v>0</v>
      </c>
      <c r="I12" s="102">
        <v>1000</v>
      </c>
      <c r="J12" s="103">
        <v>3885</v>
      </c>
      <c r="K12" s="104">
        <f>B12/I12</f>
        <v>15.525</v>
      </c>
    </row>
    <row r="13" spans="1:18" x14ac:dyDescent="0.4">
      <c r="A13" s="64" t="s">
        <v>220</v>
      </c>
      <c r="B13" s="99">
        <f>SUM(C13:E13)*I13+J13</f>
        <v>13735</v>
      </c>
      <c r="C13" s="63">
        <v>6.85</v>
      </c>
      <c r="D13" s="63">
        <v>3</v>
      </c>
      <c r="E13" s="63">
        <v>0</v>
      </c>
      <c r="F13" s="63">
        <v>0</v>
      </c>
      <c r="G13" s="63">
        <v>0</v>
      </c>
      <c r="H13" s="63">
        <v>0</v>
      </c>
      <c r="I13" s="102">
        <v>1000</v>
      </c>
      <c r="J13" s="103">
        <v>3885</v>
      </c>
      <c r="K13" s="104">
        <f>B13/I13</f>
        <v>13.734999999999999</v>
      </c>
    </row>
    <row r="14" spans="1:18" x14ac:dyDescent="0.4">
      <c r="A14" s="26" t="s">
        <v>287</v>
      </c>
      <c r="B14" s="100"/>
      <c r="C14" s="63">
        <v>6.85</v>
      </c>
      <c r="D14" s="63">
        <v>3</v>
      </c>
      <c r="E14" s="63">
        <v>0</v>
      </c>
      <c r="F14" s="63">
        <v>0</v>
      </c>
      <c r="G14" s="63">
        <v>0</v>
      </c>
      <c r="H14" s="63">
        <v>0</v>
      </c>
    </row>
    <row r="15" spans="1:18" x14ac:dyDescent="0.4">
      <c r="A15" s="26" t="s">
        <v>236</v>
      </c>
      <c r="C15" s="63">
        <v>7.28</v>
      </c>
      <c r="D15" s="63">
        <v>3</v>
      </c>
      <c r="E15" s="63">
        <v>0</v>
      </c>
      <c r="F15" s="63">
        <v>2.2999999999999998</v>
      </c>
      <c r="G15" s="63">
        <v>5.5</v>
      </c>
      <c r="H15" s="63">
        <v>5.0999999999999996</v>
      </c>
    </row>
    <row r="16" spans="1:18" x14ac:dyDescent="0.4">
      <c r="A16" s="26" t="s">
        <v>288</v>
      </c>
      <c r="C16" s="63">
        <v>6.85</v>
      </c>
      <c r="D16" s="63">
        <v>3</v>
      </c>
      <c r="E16" s="63">
        <v>0</v>
      </c>
      <c r="F16" s="63">
        <v>2.2999999999999998</v>
      </c>
      <c r="G16" s="63">
        <v>5.5</v>
      </c>
      <c r="H16" s="63">
        <v>5.0999999999999996</v>
      </c>
    </row>
    <row r="17" spans="12:13" ht="24.6" x14ac:dyDescent="0.4">
      <c r="L17" s="31" t="s">
        <v>238</v>
      </c>
      <c r="M17" s="31" t="s">
        <v>239</v>
      </c>
    </row>
    <row r="18" spans="12:13" x14ac:dyDescent="0.4">
      <c r="L18" s="72">
        <v>0.05</v>
      </c>
      <c r="M18" s="72">
        <v>0.1</v>
      </c>
    </row>
    <row r="53" spans="1:8" x14ac:dyDescent="0.4">
      <c r="A53" s="70" t="s">
        <v>341</v>
      </c>
      <c r="B53" s="70"/>
      <c r="C53" s="63">
        <v>6.85</v>
      </c>
      <c r="D53" s="63">
        <v>3</v>
      </c>
      <c r="E53" s="63">
        <v>0</v>
      </c>
      <c r="F53" s="63">
        <v>2.2999999999999998</v>
      </c>
      <c r="G53" s="63">
        <v>5.5</v>
      </c>
      <c r="H53" s="63">
        <v>5.0999999999999996</v>
      </c>
    </row>
  </sheetData>
  <mergeCells count="2">
    <mergeCell ref="A10:K10"/>
    <mergeCell ref="A1:M1"/>
  </mergeCells>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3FA3-9276-445A-8B3B-142600BD7E80}">
  <dimension ref="B4:X28"/>
  <sheetViews>
    <sheetView workbookViewId="0">
      <selection activeCell="D5" sqref="D5"/>
    </sheetView>
  </sheetViews>
  <sheetFormatPr defaultRowHeight="12.3" x14ac:dyDescent="0.4"/>
  <cols>
    <col min="2" max="2" width="12.21875" customWidth="1"/>
    <col min="4" max="4" width="23.5546875" bestFit="1" customWidth="1"/>
    <col min="8" max="8" width="18.21875" customWidth="1"/>
    <col min="17" max="17" width="9.33203125" customWidth="1"/>
  </cols>
  <sheetData>
    <row r="4" spans="2:24" x14ac:dyDescent="0.4">
      <c r="D4" s="95" t="s">
        <v>190</v>
      </c>
      <c r="H4" s="95" t="s">
        <v>190</v>
      </c>
      <c r="L4" t="s">
        <v>222</v>
      </c>
      <c r="Q4" t="s">
        <v>224</v>
      </c>
      <c r="R4">
        <v>1000</v>
      </c>
      <c r="S4">
        <v>500</v>
      </c>
      <c r="V4" t="s">
        <v>232</v>
      </c>
      <c r="W4" t="s">
        <v>233</v>
      </c>
      <c r="X4" t="s">
        <v>131</v>
      </c>
    </row>
    <row r="5" spans="2:24" x14ac:dyDescent="0.4">
      <c r="D5" s="32" t="s">
        <v>341</v>
      </c>
      <c r="H5" s="71" t="s">
        <v>223</v>
      </c>
      <c r="L5" t="s">
        <v>223</v>
      </c>
      <c r="M5">
        <v>1000</v>
      </c>
      <c r="N5">
        <v>5.9</v>
      </c>
      <c r="Q5" t="s">
        <v>230</v>
      </c>
      <c r="R5">
        <v>5.9</v>
      </c>
      <c r="S5">
        <v>7.12</v>
      </c>
      <c r="T5">
        <v>3</v>
      </c>
      <c r="U5">
        <v>3600</v>
      </c>
      <c r="V5" t="s">
        <v>231</v>
      </c>
    </row>
    <row r="6" spans="2:24" x14ac:dyDescent="0.4">
      <c r="L6" t="s">
        <v>223</v>
      </c>
      <c r="M6">
        <v>500</v>
      </c>
      <c r="N6">
        <v>7.12</v>
      </c>
    </row>
    <row r="7" spans="2:24" x14ac:dyDescent="0.4">
      <c r="L7" t="s">
        <v>234</v>
      </c>
      <c r="M7">
        <v>1000</v>
      </c>
    </row>
    <row r="8" spans="2:24" x14ac:dyDescent="0.4">
      <c r="H8" t="s">
        <v>225</v>
      </c>
      <c r="L8" t="s">
        <v>108</v>
      </c>
      <c r="M8">
        <v>1000</v>
      </c>
    </row>
    <row r="9" spans="2:24" x14ac:dyDescent="0.4">
      <c r="L9" t="s">
        <v>109</v>
      </c>
      <c r="M9">
        <v>1000</v>
      </c>
    </row>
    <row r="10" spans="2:24" x14ac:dyDescent="0.4">
      <c r="B10" s="96" t="s">
        <v>221</v>
      </c>
      <c r="D10" s="93" t="s">
        <v>216</v>
      </c>
      <c r="L10" t="s">
        <v>117</v>
      </c>
      <c r="M10">
        <v>1000</v>
      </c>
    </row>
    <row r="11" spans="2:24" x14ac:dyDescent="0.4">
      <c r="B11" s="71">
        <v>500</v>
      </c>
      <c r="D11" s="63">
        <f>IFERROR(VLOOKUP($D$5,'Product Cost'!$A$11:$K$150,MATCH(D10,'Product Cost'!$A$11:$K$11,0),0),"")</f>
        <v>6.85</v>
      </c>
      <c r="L11" t="s">
        <v>234</v>
      </c>
      <c r="M11">
        <v>500</v>
      </c>
    </row>
    <row r="12" spans="2:24" x14ac:dyDescent="0.4">
      <c r="B12" s="96" t="s">
        <v>286</v>
      </c>
      <c r="D12" s="93" t="s">
        <v>118</v>
      </c>
      <c r="E12" s="32" t="s">
        <v>269</v>
      </c>
      <c r="F12" s="32" t="s">
        <v>282</v>
      </c>
      <c r="L12" t="s">
        <v>108</v>
      </c>
      <c r="M12">
        <v>500</v>
      </c>
    </row>
    <row r="13" spans="2:24" x14ac:dyDescent="0.4">
      <c r="B13" s="71" t="s">
        <v>284</v>
      </c>
      <c r="D13" s="63">
        <f>IFERROR(VLOOKUP($D$5,'Product Cost'!$A$11:$K$150,MATCH(D12,'Product Cost'!$A$11:$K$11,0),0),"")</f>
        <v>3</v>
      </c>
      <c r="E13" s="32" t="s">
        <v>283</v>
      </c>
      <c r="F13" s="74">
        <v>3.89</v>
      </c>
      <c r="L13" t="s">
        <v>109</v>
      </c>
      <c r="M13">
        <v>500</v>
      </c>
    </row>
    <row r="14" spans="2:24" x14ac:dyDescent="0.4">
      <c r="D14" s="93" t="s">
        <v>217</v>
      </c>
      <c r="E14" s="32" t="s">
        <v>284</v>
      </c>
      <c r="F14" s="74">
        <v>4</v>
      </c>
      <c r="H14" t="s">
        <v>218</v>
      </c>
      <c r="L14" t="s">
        <v>117</v>
      </c>
      <c r="M14">
        <v>500</v>
      </c>
    </row>
    <row r="15" spans="2:24" x14ac:dyDescent="0.4">
      <c r="D15" s="63">
        <f>IFERROR(VLOOKUP($D$5,'Product Cost'!$A$11:$K$150,MATCH(D14,'Product Cost'!$A$11:$K$11,0),0),"")</f>
        <v>0</v>
      </c>
      <c r="E15" s="32" t="s">
        <v>285</v>
      </c>
      <c r="F15" s="74">
        <v>6</v>
      </c>
    </row>
    <row r="16" spans="2:24" x14ac:dyDescent="0.4">
      <c r="D16" s="93" t="s">
        <v>235</v>
      </c>
    </row>
    <row r="17" spans="4:4" x14ac:dyDescent="0.4">
      <c r="D17" s="63">
        <f>IFERROR(VLOOKUP($D$5,'Product Cost'!$A$11:$K$150,MATCH(D16,'Product Cost'!$A$11:$K$11,0),0),"")</f>
        <v>2.2999999999999998</v>
      </c>
    </row>
    <row r="18" spans="4:4" x14ac:dyDescent="0.4">
      <c r="D18" s="93" t="s">
        <v>236</v>
      </c>
    </row>
    <row r="19" spans="4:4" x14ac:dyDescent="0.4">
      <c r="D19" s="63">
        <f>IFERROR(VLOOKUP($D$5,'Product Cost'!$A$11:$K$150,MATCH(D18,'Product Cost'!$A$11:$K$11,0),0),"")</f>
        <v>5.5</v>
      </c>
    </row>
    <row r="20" spans="4:4" x14ac:dyDescent="0.4">
      <c r="D20" s="93" t="s">
        <v>237</v>
      </c>
    </row>
    <row r="21" spans="4:4" x14ac:dyDescent="0.4">
      <c r="D21" s="63">
        <f>IFERROR(VLOOKUP($D$5,'Product Cost'!$A$11:$K$150,MATCH(D20,'Product Cost'!$A$11:$K$11,0),0),"")</f>
        <v>5.0999999999999996</v>
      </c>
    </row>
    <row r="22" spans="4:4" x14ac:dyDescent="0.4">
      <c r="D22" s="93" t="s">
        <v>218</v>
      </c>
    </row>
    <row r="23" spans="4:4" x14ac:dyDescent="0.4">
      <c r="D23" s="63">
        <f>IFERROR(VLOOKUP(B13,$E$12:$F$15,2,0),"")</f>
        <v>4</v>
      </c>
    </row>
    <row r="24" spans="4:4" x14ac:dyDescent="0.4">
      <c r="D24" s="93" t="s">
        <v>193</v>
      </c>
    </row>
    <row r="25" spans="4:4" x14ac:dyDescent="0.4">
      <c r="D25" s="63">
        <f>D11+D13+D15+D17+D19+D21+D23</f>
        <v>26.75</v>
      </c>
    </row>
    <row r="27" spans="4:4" x14ac:dyDescent="0.4">
      <c r="D27" s="93" t="s">
        <v>191</v>
      </c>
    </row>
    <row r="28" spans="4:4" x14ac:dyDescent="0.4">
      <c r="D28" s="97">
        <f>B11*D25</f>
        <v>13375</v>
      </c>
    </row>
  </sheetData>
  <dataValidations count="2">
    <dataValidation type="list" allowBlank="1" showInputMessage="1" showErrorMessage="1" sqref="B13" xr:uid="{11F85FB8-6720-44B6-8A2F-F9937249ED57}">
      <formula1>$E$13:$E$15</formula1>
    </dataValidation>
    <dataValidation type="list" allowBlank="1" showInputMessage="1" showErrorMessage="1" sqref="H5" xr:uid="{162DA498-4500-4F44-8D20-B17C33E76641}">
      <formula1>$L$5:$L$14</formula1>
    </dataValidation>
  </dataValidations>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D6B7867D-4343-46F4-A335-9CDA42BB5D37}">
          <x14:formula1>
            <xm:f>'Product Cost'!$A$12:$A$150</xm:f>
          </x14:formula1>
          <xm:sqref>D5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0926A-6CED-4B94-BFC3-CF9BC95F7055}">
  <dimension ref="A1:P20"/>
  <sheetViews>
    <sheetView tabSelected="1" workbookViewId="0">
      <selection activeCell="F39" sqref="F39"/>
    </sheetView>
  </sheetViews>
  <sheetFormatPr defaultRowHeight="12.3" x14ac:dyDescent="0.4"/>
  <cols>
    <col min="3" max="3" width="26.83203125" customWidth="1"/>
  </cols>
  <sheetData>
    <row r="1" spans="1:16" x14ac:dyDescent="0.4">
      <c r="A1" t="s">
        <v>289</v>
      </c>
      <c r="B1" t="s">
        <v>290</v>
      </c>
      <c r="C1" t="s">
        <v>291</v>
      </c>
      <c r="D1" t="s">
        <v>281</v>
      </c>
      <c r="E1" t="s">
        <v>111</v>
      </c>
      <c r="F1" t="s">
        <v>292</v>
      </c>
      <c r="G1" t="s">
        <v>293</v>
      </c>
      <c r="H1" t="s">
        <v>294</v>
      </c>
      <c r="I1" t="s">
        <v>295</v>
      </c>
      <c r="J1" t="s">
        <v>296</v>
      </c>
      <c r="K1" t="s">
        <v>297</v>
      </c>
      <c r="L1" t="s">
        <v>252</v>
      </c>
    </row>
    <row r="2" spans="1:16" x14ac:dyDescent="0.4">
      <c r="A2" t="s">
        <v>265</v>
      </c>
      <c r="B2">
        <v>500</v>
      </c>
      <c r="C2">
        <v>65</v>
      </c>
      <c r="D2">
        <v>32500</v>
      </c>
      <c r="E2">
        <v>7000</v>
      </c>
      <c r="F2">
        <v>8</v>
      </c>
      <c r="G2">
        <v>4000</v>
      </c>
      <c r="H2" s="77">
        <v>0.05</v>
      </c>
      <c r="I2">
        <v>1075</v>
      </c>
      <c r="J2">
        <v>10</v>
      </c>
      <c r="K2">
        <v>2042.5</v>
      </c>
      <c r="L2">
        <v>18382.5</v>
      </c>
      <c r="M2" t="s">
        <v>298</v>
      </c>
    </row>
    <row r="3" spans="1:16" x14ac:dyDescent="0.4">
      <c r="A3" t="s">
        <v>299</v>
      </c>
      <c r="B3">
        <v>500</v>
      </c>
      <c r="C3">
        <v>45</v>
      </c>
      <c r="D3">
        <v>22500</v>
      </c>
      <c r="E3">
        <v>7000</v>
      </c>
      <c r="F3">
        <v>8</v>
      </c>
      <c r="G3">
        <v>4000</v>
      </c>
      <c r="H3" s="77">
        <v>0.05</v>
      </c>
      <c r="I3">
        <v>575</v>
      </c>
      <c r="J3">
        <v>10</v>
      </c>
      <c r="K3">
        <v>1092.5</v>
      </c>
      <c r="L3" s="105">
        <v>9832.5</v>
      </c>
    </row>
    <row r="4" spans="1:16" x14ac:dyDescent="0.4">
      <c r="A4" t="s">
        <v>300</v>
      </c>
      <c r="B4">
        <v>1000</v>
      </c>
      <c r="F4">
        <v>8</v>
      </c>
      <c r="H4" s="77">
        <v>0.45</v>
      </c>
      <c r="J4">
        <v>10</v>
      </c>
    </row>
    <row r="5" spans="1:16" x14ac:dyDescent="0.4">
      <c r="A5" t="s">
        <v>106</v>
      </c>
      <c r="B5">
        <v>1000</v>
      </c>
      <c r="C5">
        <v>65</v>
      </c>
      <c r="D5">
        <v>6500</v>
      </c>
      <c r="F5">
        <v>8</v>
      </c>
      <c r="H5" s="77">
        <v>0.45</v>
      </c>
      <c r="J5">
        <v>10</v>
      </c>
    </row>
    <row r="6" spans="1:16" x14ac:dyDescent="0.4">
      <c r="A6" t="s">
        <v>301</v>
      </c>
      <c r="B6">
        <v>1000</v>
      </c>
      <c r="C6">
        <v>110</v>
      </c>
      <c r="D6">
        <v>111000</v>
      </c>
      <c r="E6">
        <v>30000</v>
      </c>
      <c r="F6">
        <v>8</v>
      </c>
      <c r="G6">
        <v>8000</v>
      </c>
      <c r="H6" s="77">
        <v>0</v>
      </c>
      <c r="I6" t="s">
        <v>102</v>
      </c>
      <c r="J6">
        <v>10</v>
      </c>
      <c r="K6">
        <v>7200</v>
      </c>
      <c r="L6">
        <v>64800</v>
      </c>
    </row>
    <row r="7" spans="1:16" x14ac:dyDescent="0.4">
      <c r="A7" t="s">
        <v>302</v>
      </c>
      <c r="B7">
        <v>1000</v>
      </c>
      <c r="C7">
        <v>85</v>
      </c>
      <c r="D7">
        <v>85000</v>
      </c>
      <c r="E7">
        <v>20000</v>
      </c>
      <c r="F7">
        <v>8</v>
      </c>
      <c r="G7">
        <v>8000</v>
      </c>
      <c r="H7">
        <v>0</v>
      </c>
      <c r="I7" t="s">
        <v>102</v>
      </c>
      <c r="J7">
        <v>10</v>
      </c>
      <c r="K7">
        <v>6500</v>
      </c>
      <c r="L7">
        <v>58500</v>
      </c>
    </row>
    <row r="9" spans="1:16" x14ac:dyDescent="0.4">
      <c r="C9" t="s">
        <v>303</v>
      </c>
      <c r="D9" t="s">
        <v>304</v>
      </c>
      <c r="E9" s="72">
        <v>5.0000000000000001E-3</v>
      </c>
      <c r="F9" t="s">
        <v>191</v>
      </c>
      <c r="G9" t="s">
        <v>305</v>
      </c>
      <c r="H9" t="s">
        <v>306</v>
      </c>
      <c r="I9" s="77">
        <v>0.01</v>
      </c>
      <c r="J9" t="s">
        <v>191</v>
      </c>
      <c r="K9" t="s">
        <v>307</v>
      </c>
      <c r="L9" t="s">
        <v>252</v>
      </c>
      <c r="M9" t="s">
        <v>120</v>
      </c>
      <c r="N9" t="s">
        <v>308</v>
      </c>
      <c r="O9" t="s">
        <v>98</v>
      </c>
      <c r="P9" t="s">
        <v>99</v>
      </c>
    </row>
    <row r="10" spans="1:16" x14ac:dyDescent="0.4">
      <c r="C10" t="s">
        <v>309</v>
      </c>
      <c r="D10">
        <v>105000</v>
      </c>
      <c r="E10">
        <v>525</v>
      </c>
      <c r="F10">
        <v>21.64</v>
      </c>
      <c r="G10">
        <v>44625</v>
      </c>
      <c r="I10">
        <v>1500</v>
      </c>
      <c r="M10">
        <v>6000</v>
      </c>
      <c r="O10" s="106">
        <v>43623</v>
      </c>
    </row>
    <row r="11" spans="1:16" x14ac:dyDescent="0.4">
      <c r="A11" s="106">
        <v>43643</v>
      </c>
      <c r="C11" t="s">
        <v>310</v>
      </c>
      <c r="D11">
        <v>40000</v>
      </c>
      <c r="E11">
        <v>200</v>
      </c>
      <c r="G11">
        <v>17000</v>
      </c>
      <c r="I11">
        <v>400</v>
      </c>
    </row>
    <row r="12" spans="1:16" x14ac:dyDescent="0.4">
      <c r="A12" s="106">
        <v>43678</v>
      </c>
      <c r="B12" s="106">
        <v>43681</v>
      </c>
      <c r="C12" t="s">
        <v>311</v>
      </c>
      <c r="D12">
        <v>400000</v>
      </c>
      <c r="E12">
        <v>2000</v>
      </c>
      <c r="I12">
        <v>4000</v>
      </c>
    </row>
    <row r="13" spans="1:16" x14ac:dyDescent="0.4">
      <c r="A13" s="106">
        <v>43700</v>
      </c>
      <c r="C13" t="s">
        <v>312</v>
      </c>
      <c r="D13">
        <v>50000</v>
      </c>
      <c r="E13">
        <v>250</v>
      </c>
      <c r="F13">
        <v>164500</v>
      </c>
      <c r="G13">
        <v>723800</v>
      </c>
      <c r="I13">
        <v>500</v>
      </c>
      <c r="M13">
        <v>503370</v>
      </c>
    </row>
    <row r="14" spans="1:16" x14ac:dyDescent="0.4">
      <c r="A14" s="106">
        <v>43707</v>
      </c>
      <c r="B14" s="106">
        <v>43709</v>
      </c>
      <c r="C14" t="s">
        <v>313</v>
      </c>
      <c r="D14">
        <v>98000</v>
      </c>
      <c r="E14">
        <v>490</v>
      </c>
      <c r="I14">
        <v>980</v>
      </c>
    </row>
    <row r="15" spans="1:16" x14ac:dyDescent="0.4">
      <c r="A15" s="106">
        <v>43728</v>
      </c>
      <c r="B15" s="106">
        <v>43730</v>
      </c>
      <c r="C15" t="s">
        <v>314</v>
      </c>
      <c r="D15">
        <v>35000</v>
      </c>
      <c r="E15">
        <v>175</v>
      </c>
      <c r="I15">
        <v>350</v>
      </c>
    </row>
    <row r="16" spans="1:16" x14ac:dyDescent="0.4">
      <c r="A16" s="106">
        <v>43735</v>
      </c>
      <c r="B16" s="106">
        <v>43737</v>
      </c>
      <c r="C16" t="s">
        <v>315</v>
      </c>
      <c r="D16">
        <v>35000</v>
      </c>
      <c r="E16">
        <v>175</v>
      </c>
      <c r="I16">
        <v>350</v>
      </c>
    </row>
    <row r="17" spans="1:12" x14ac:dyDescent="0.4">
      <c r="A17" s="106">
        <v>43741</v>
      </c>
      <c r="C17" t="s">
        <v>316</v>
      </c>
      <c r="D17">
        <v>30000</v>
      </c>
      <c r="E17">
        <v>150</v>
      </c>
      <c r="I17">
        <v>300</v>
      </c>
    </row>
    <row r="18" spans="1:12" x14ac:dyDescent="0.4">
      <c r="A18" s="106">
        <v>43766</v>
      </c>
      <c r="C18" t="s">
        <v>317</v>
      </c>
      <c r="D18">
        <v>60000</v>
      </c>
      <c r="E18">
        <v>300</v>
      </c>
      <c r="I18">
        <v>600</v>
      </c>
    </row>
    <row r="20" spans="1:12" x14ac:dyDescent="0.4">
      <c r="D20">
        <v>453000</v>
      </c>
      <c r="E20">
        <v>2265</v>
      </c>
      <c r="F20">
        <v>49014.6</v>
      </c>
      <c r="G20">
        <v>192525</v>
      </c>
      <c r="H20">
        <v>143510</v>
      </c>
      <c r="I20">
        <v>11060</v>
      </c>
      <c r="J20">
        <v>239338.4</v>
      </c>
      <c r="K20">
        <v>940100</v>
      </c>
      <c r="L20">
        <v>700761.59999999998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7C73-D9E8-41D1-9EC5-3E395E42206D}">
  <dimension ref="B4:R60"/>
  <sheetViews>
    <sheetView workbookViewId="0">
      <selection activeCell="B7" sqref="B7"/>
    </sheetView>
  </sheetViews>
  <sheetFormatPr defaultRowHeight="12.3" x14ac:dyDescent="0.4"/>
  <cols>
    <col min="2" max="2" width="23.5546875" bestFit="1" customWidth="1"/>
    <col min="4" max="4" width="17.609375" style="70" bestFit="1" customWidth="1"/>
    <col min="9" max="9" width="13.6640625" customWidth="1"/>
  </cols>
  <sheetData>
    <row r="4" spans="2:18" x14ac:dyDescent="0.4">
      <c r="D4" s="94" t="s">
        <v>303</v>
      </c>
    </row>
    <row r="5" spans="2:18" x14ac:dyDescent="0.4">
      <c r="D5" s="71" t="s">
        <v>309</v>
      </c>
    </row>
    <row r="6" spans="2:18" x14ac:dyDescent="0.4">
      <c r="B6" s="95" t="s">
        <v>190</v>
      </c>
    </row>
    <row r="7" spans="2:18" x14ac:dyDescent="0.4">
      <c r="B7" s="71" t="s">
        <v>220</v>
      </c>
      <c r="D7" s="107" t="s">
        <v>304</v>
      </c>
      <c r="G7">
        <v>5.0000000000000001E-3</v>
      </c>
      <c r="H7" t="s">
        <v>191</v>
      </c>
      <c r="I7" t="s">
        <v>305</v>
      </c>
      <c r="J7" t="s">
        <v>306</v>
      </c>
      <c r="K7">
        <v>0.01</v>
      </c>
      <c r="L7" t="s">
        <v>191</v>
      </c>
      <c r="M7" t="s">
        <v>307</v>
      </c>
      <c r="N7" t="s">
        <v>252</v>
      </c>
      <c r="O7" t="s">
        <v>120</v>
      </c>
      <c r="P7" t="s">
        <v>308</v>
      </c>
      <c r="Q7" t="s">
        <v>98</v>
      </c>
      <c r="R7" t="s">
        <v>99</v>
      </c>
    </row>
    <row r="8" spans="2:18" x14ac:dyDescent="0.4">
      <c r="B8" s="71" t="s">
        <v>327</v>
      </c>
      <c r="D8" s="71">
        <f>IFERROR(VLOOKUP($D$5,Sheet2!$C$9:$O$10,MATCH(Sheet3!D7,Sheet2!$C$9:$P$9,0),0),"")</f>
        <v>105000</v>
      </c>
    </row>
    <row r="9" spans="2:18" x14ac:dyDescent="0.4">
      <c r="B9" s="71">
        <f>Sheet1!D25</f>
        <v>26.75</v>
      </c>
    </row>
    <row r="10" spans="2:18" x14ac:dyDescent="0.4">
      <c r="B10" s="71" t="s">
        <v>248</v>
      </c>
      <c r="D10" s="107" t="s">
        <v>318</v>
      </c>
    </row>
    <row r="11" spans="2:18" x14ac:dyDescent="0.4">
      <c r="B11" s="71">
        <v>60</v>
      </c>
      <c r="D11" s="71">
        <f>D8*0.005</f>
        <v>525</v>
      </c>
    </row>
    <row r="12" spans="2:18" x14ac:dyDescent="0.4">
      <c r="D12" s="107" t="s">
        <v>319</v>
      </c>
    </row>
    <row r="13" spans="2:18" x14ac:dyDescent="0.4">
      <c r="D13" s="71">
        <f>D8*0.01</f>
        <v>1050</v>
      </c>
    </row>
    <row r="14" spans="2:18" x14ac:dyDescent="0.4">
      <c r="D14" s="107" t="s">
        <v>320</v>
      </c>
    </row>
    <row r="15" spans="2:18" x14ac:dyDescent="0.4">
      <c r="D15" s="71">
        <f>D8*0.03</f>
        <v>3150</v>
      </c>
    </row>
    <row r="17" spans="4:4" x14ac:dyDescent="0.4">
      <c r="D17" s="107" t="s">
        <v>324</v>
      </c>
    </row>
    <row r="18" spans="4:4" x14ac:dyDescent="0.4">
      <c r="D18" s="78">
        <f>D11*B9</f>
        <v>14043.75</v>
      </c>
    </row>
    <row r="19" spans="4:4" x14ac:dyDescent="0.4">
      <c r="D19" s="107" t="s">
        <v>325</v>
      </c>
    </row>
    <row r="20" spans="4:4" x14ac:dyDescent="0.4">
      <c r="D20" s="78">
        <f>D13*B9</f>
        <v>28087.5</v>
      </c>
    </row>
    <row r="21" spans="4:4" x14ac:dyDescent="0.4">
      <c r="D21" s="107" t="s">
        <v>326</v>
      </c>
    </row>
    <row r="22" spans="4:4" x14ac:dyDescent="0.4">
      <c r="D22" s="78">
        <f>D15*B9</f>
        <v>84262.5</v>
      </c>
    </row>
    <row r="24" spans="4:4" x14ac:dyDescent="0.4">
      <c r="D24" s="107" t="s">
        <v>328</v>
      </c>
    </row>
    <row r="25" spans="4:4" x14ac:dyDescent="0.4">
      <c r="D25" s="71">
        <v>5000</v>
      </c>
    </row>
    <row r="27" spans="4:4" x14ac:dyDescent="0.4">
      <c r="D27" s="107" t="s">
        <v>321</v>
      </c>
    </row>
    <row r="28" spans="4:4" x14ac:dyDescent="0.4">
      <c r="D28" s="78">
        <f>D11*B11</f>
        <v>31500</v>
      </c>
    </row>
    <row r="29" spans="4:4" x14ac:dyDescent="0.4">
      <c r="D29" s="107" t="s">
        <v>322</v>
      </c>
    </row>
    <row r="30" spans="4:4" x14ac:dyDescent="0.4">
      <c r="D30" s="78">
        <f>D13*B11</f>
        <v>63000</v>
      </c>
    </row>
    <row r="31" spans="4:4" x14ac:dyDescent="0.4">
      <c r="D31" s="107" t="s">
        <v>323</v>
      </c>
    </row>
    <row r="32" spans="4:4" x14ac:dyDescent="0.4">
      <c r="D32" s="78">
        <f>D15*B11</f>
        <v>189000</v>
      </c>
    </row>
    <row r="34" spans="4:4" x14ac:dyDescent="0.4">
      <c r="D34" s="107" t="s">
        <v>329</v>
      </c>
    </row>
    <row r="35" spans="4:4" x14ac:dyDescent="0.4">
      <c r="D35" s="78">
        <f>D28-D18-D25</f>
        <v>12456.25</v>
      </c>
    </row>
    <row r="36" spans="4:4" x14ac:dyDescent="0.4">
      <c r="D36" s="107" t="s">
        <v>331</v>
      </c>
    </row>
    <row r="37" spans="4:4" x14ac:dyDescent="0.4">
      <c r="D37" s="78">
        <f>D30-D20-D25</f>
        <v>29912.5</v>
      </c>
    </row>
    <row r="38" spans="4:4" x14ac:dyDescent="0.4">
      <c r="D38" s="107" t="s">
        <v>330</v>
      </c>
    </row>
    <row r="39" spans="4:4" x14ac:dyDescent="0.4">
      <c r="D39" s="78">
        <f>D32-D22-D25</f>
        <v>99737.5</v>
      </c>
    </row>
    <row r="41" spans="4:4" x14ac:dyDescent="0.4">
      <c r="D41" s="107" t="s">
        <v>332</v>
      </c>
    </row>
    <row r="42" spans="4:4" x14ac:dyDescent="0.4">
      <c r="D42" s="78">
        <f>D35*0.005</f>
        <v>62.28125</v>
      </c>
    </row>
    <row r="43" spans="4:4" x14ac:dyDescent="0.4">
      <c r="D43" s="107" t="s">
        <v>334</v>
      </c>
    </row>
    <row r="44" spans="4:4" x14ac:dyDescent="0.4">
      <c r="D44" s="78">
        <f>D37*0.01</f>
        <v>299.125</v>
      </c>
    </row>
    <row r="45" spans="4:4" x14ac:dyDescent="0.4">
      <c r="D45" s="107" t="s">
        <v>333</v>
      </c>
    </row>
    <row r="46" spans="4:4" x14ac:dyDescent="0.4">
      <c r="D46" s="78">
        <f>D39*0.03</f>
        <v>2992.125</v>
      </c>
    </row>
    <row r="48" spans="4:4" x14ac:dyDescent="0.4">
      <c r="D48" s="107" t="s">
        <v>335</v>
      </c>
    </row>
    <row r="49" spans="4:4" x14ac:dyDescent="0.4">
      <c r="D49" s="78">
        <f>(D35-D42)*0.1</f>
        <v>1239.3968750000001</v>
      </c>
    </row>
    <row r="50" spans="4:4" x14ac:dyDescent="0.4">
      <c r="D50" s="107" t="s">
        <v>336</v>
      </c>
    </row>
    <row r="51" spans="4:4" x14ac:dyDescent="0.4">
      <c r="D51" s="78">
        <f>(D37-D44)*0.1</f>
        <v>2961.3375000000001</v>
      </c>
    </row>
    <row r="52" spans="4:4" x14ac:dyDescent="0.4">
      <c r="D52" s="107" t="s">
        <v>337</v>
      </c>
    </row>
    <row r="53" spans="4:4" x14ac:dyDescent="0.4">
      <c r="D53" s="78">
        <f>(D39-D46)*0.1</f>
        <v>9674.5375000000004</v>
      </c>
    </row>
    <row r="55" spans="4:4" x14ac:dyDescent="0.4">
      <c r="D55" s="107" t="s">
        <v>338</v>
      </c>
    </row>
    <row r="56" spans="4:4" x14ac:dyDescent="0.4">
      <c r="D56" s="78">
        <f>D35-D42-D49</f>
        <v>11154.571875</v>
      </c>
    </row>
    <row r="57" spans="4:4" x14ac:dyDescent="0.4">
      <c r="D57" s="107" t="s">
        <v>339</v>
      </c>
    </row>
    <row r="58" spans="4:4" x14ac:dyDescent="0.4">
      <c r="D58" s="78">
        <f>D37-D44-D51</f>
        <v>26652.037499999999</v>
      </c>
    </row>
    <row r="59" spans="4:4" x14ac:dyDescent="0.4">
      <c r="D59" s="107" t="s">
        <v>340</v>
      </c>
    </row>
    <row r="60" spans="4:4" x14ac:dyDescent="0.4">
      <c r="D60" s="78">
        <f>D39-D46-D53</f>
        <v>87070.837499999994</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2AC8114-9449-4EC1-B06A-B6F252018852}">
          <x14:formula1>
            <xm:f>'Product Cost'!$A$12:$A$17</xm:f>
          </x14:formula1>
          <xm:sqref>B7</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F06C-076D-4DCF-832A-B1B6E0BFB6C5}">
  <dimension ref="A1:T10"/>
  <sheetViews>
    <sheetView workbookViewId="0">
      <selection activeCell="I3" sqref="I3"/>
    </sheetView>
  </sheetViews>
  <sheetFormatPr defaultRowHeight="12.3" x14ac:dyDescent="0.4"/>
  <cols>
    <col min="1" max="1" width="28.21875" bestFit="1" customWidth="1"/>
    <col min="3" max="3" width="12.5546875" customWidth="1"/>
    <col min="4" max="4" width="14.33203125" customWidth="1"/>
    <col min="5" max="5" width="14.71875" customWidth="1"/>
    <col min="6" max="6" width="16.21875" bestFit="1" customWidth="1"/>
    <col min="7" max="7" width="11.109375" customWidth="1"/>
    <col min="8" max="8" width="11.44140625" customWidth="1"/>
    <col min="9" max="9" width="10.71875" bestFit="1" customWidth="1"/>
    <col min="11" max="11" width="13.21875" bestFit="1" customWidth="1"/>
    <col min="12" max="12" width="13.21875" customWidth="1"/>
    <col min="13" max="13" width="16.33203125" bestFit="1" customWidth="1"/>
    <col min="14" max="14" width="16.83203125" bestFit="1" customWidth="1"/>
    <col min="15" max="15" width="13.5546875" bestFit="1" customWidth="1"/>
    <col min="16" max="16" width="14.5546875" customWidth="1"/>
  </cols>
  <sheetData>
    <row r="1" spans="1:20" x14ac:dyDescent="0.4">
      <c r="A1" s="87" t="s">
        <v>125</v>
      </c>
      <c r="B1" s="87"/>
      <c r="C1" s="87"/>
      <c r="D1" s="87"/>
      <c r="E1" s="87"/>
      <c r="F1" s="87"/>
      <c r="G1" s="87"/>
      <c r="H1" s="87"/>
      <c r="I1" s="87"/>
      <c r="K1" s="88" t="s">
        <v>130</v>
      </c>
      <c r="L1" s="88"/>
      <c r="M1" s="88"/>
      <c r="N1" s="88"/>
      <c r="O1" s="88"/>
      <c r="P1" s="88"/>
      <c r="Q1" s="88"/>
      <c r="R1" s="88"/>
    </row>
    <row r="2" spans="1:20" ht="24.6" x14ac:dyDescent="0.4">
      <c r="A2" s="33"/>
      <c r="B2" s="34" t="s">
        <v>256</v>
      </c>
      <c r="C2" s="34" t="s">
        <v>274</v>
      </c>
      <c r="D2" s="34" t="s">
        <v>275</v>
      </c>
      <c r="E2" s="34" t="s">
        <v>132</v>
      </c>
      <c r="F2" s="34" t="s">
        <v>276</v>
      </c>
      <c r="G2" s="34" t="s">
        <v>120</v>
      </c>
      <c r="H2" s="34" t="s">
        <v>277</v>
      </c>
      <c r="I2" s="34"/>
      <c r="K2" s="34" t="s">
        <v>126</v>
      </c>
      <c r="L2" s="34" t="s">
        <v>249</v>
      </c>
      <c r="M2" s="34" t="s">
        <v>248</v>
      </c>
      <c r="N2" s="34" t="s">
        <v>240</v>
      </c>
      <c r="O2" s="34" t="s">
        <v>250</v>
      </c>
      <c r="P2" s="34" t="s">
        <v>132</v>
      </c>
      <c r="Q2" s="75" t="s">
        <v>131</v>
      </c>
      <c r="R2" s="34" t="s">
        <v>251</v>
      </c>
      <c r="S2" s="34" t="s">
        <v>239</v>
      </c>
      <c r="T2" s="34" t="s">
        <v>252</v>
      </c>
    </row>
    <row r="3" spans="1:20" s="41" customFormat="1" x14ac:dyDescent="0.4">
      <c r="A3" s="42" t="s">
        <v>273</v>
      </c>
      <c r="B3" s="42">
        <v>1000</v>
      </c>
      <c r="C3" s="78">
        <v>575</v>
      </c>
      <c r="D3" s="78">
        <v>15525</v>
      </c>
      <c r="E3" s="42"/>
      <c r="F3" s="42"/>
      <c r="G3" s="42"/>
      <c r="H3" s="42"/>
      <c r="I3" s="42"/>
      <c r="K3" s="42" t="s">
        <v>73</v>
      </c>
      <c r="L3" s="78"/>
      <c r="M3" s="78"/>
      <c r="N3" s="42"/>
      <c r="O3" s="42"/>
      <c r="P3" s="42"/>
      <c r="Q3" s="42"/>
      <c r="R3" s="42"/>
      <c r="S3" s="42"/>
      <c r="T3" s="42"/>
    </row>
    <row r="4" spans="1:20" x14ac:dyDescent="0.4">
      <c r="A4" s="32" t="s">
        <v>121</v>
      </c>
      <c r="B4" s="32"/>
      <c r="C4" s="32"/>
      <c r="D4" s="32"/>
      <c r="E4" s="32"/>
      <c r="F4" s="32"/>
      <c r="G4" s="32"/>
      <c r="H4" s="32"/>
      <c r="I4" s="32"/>
      <c r="K4" s="32" t="s">
        <v>127</v>
      </c>
      <c r="L4" s="74"/>
      <c r="M4" s="74"/>
      <c r="N4" s="32"/>
      <c r="O4" s="32"/>
      <c r="P4" s="32"/>
      <c r="Q4" s="32"/>
      <c r="R4" s="32"/>
      <c r="S4" s="32"/>
      <c r="T4" s="32"/>
    </row>
    <row r="5" spans="1:20" x14ac:dyDescent="0.4">
      <c r="A5" s="32" t="s">
        <v>122</v>
      </c>
      <c r="B5" s="32"/>
      <c r="C5" s="32"/>
      <c r="D5" s="32"/>
      <c r="E5" s="32"/>
      <c r="F5" s="32"/>
      <c r="G5" s="32"/>
      <c r="H5" s="32"/>
      <c r="I5" s="32"/>
      <c r="K5" s="32" t="s">
        <v>128</v>
      </c>
      <c r="L5" s="74"/>
      <c r="M5" s="74"/>
      <c r="N5" s="32"/>
      <c r="O5" s="32"/>
      <c r="P5" s="32"/>
      <c r="Q5" s="32"/>
      <c r="R5" s="32"/>
      <c r="S5" s="32"/>
      <c r="T5" s="32"/>
    </row>
    <row r="6" spans="1:20" x14ac:dyDescent="0.4">
      <c r="A6" s="32" t="s">
        <v>123</v>
      </c>
      <c r="B6" s="32"/>
      <c r="C6" s="32"/>
      <c r="D6" s="32"/>
      <c r="E6" s="32"/>
      <c r="F6" s="32"/>
      <c r="G6" s="32"/>
      <c r="H6" s="32"/>
      <c r="I6" s="32"/>
      <c r="K6" s="32" t="s">
        <v>129</v>
      </c>
      <c r="L6" s="74"/>
      <c r="M6" s="74"/>
      <c r="N6" s="32"/>
      <c r="O6" s="32"/>
      <c r="P6" s="32"/>
      <c r="Q6" s="32"/>
      <c r="R6" s="32"/>
      <c r="S6" s="32"/>
      <c r="T6" s="32"/>
    </row>
    <row r="7" spans="1:20" ht="36.9" x14ac:dyDescent="0.4">
      <c r="A7" s="32" t="s">
        <v>124</v>
      </c>
      <c r="B7" s="32"/>
      <c r="C7" s="32"/>
      <c r="D7" s="32"/>
      <c r="E7" s="32"/>
      <c r="F7" s="32"/>
      <c r="G7" s="32"/>
      <c r="H7" s="32"/>
      <c r="I7" s="32"/>
      <c r="K7" s="32" t="s">
        <v>247</v>
      </c>
      <c r="L7" s="74">
        <v>85</v>
      </c>
      <c r="M7" s="74">
        <v>60</v>
      </c>
      <c r="N7" s="73"/>
      <c r="O7" s="73">
        <v>0.03</v>
      </c>
      <c r="P7" s="74">
        <v>0.3</v>
      </c>
      <c r="Q7" s="32"/>
      <c r="R7" s="35" t="s">
        <v>253</v>
      </c>
      <c r="S7" s="37" t="s">
        <v>254</v>
      </c>
      <c r="T7" s="32"/>
    </row>
    <row r="8" spans="1:20" x14ac:dyDescent="0.4">
      <c r="A8" s="32"/>
      <c r="B8" s="32"/>
      <c r="C8" s="32"/>
      <c r="D8" s="32"/>
      <c r="E8" s="32"/>
      <c r="F8" s="32"/>
      <c r="G8" s="32"/>
      <c r="H8" s="32"/>
      <c r="I8" s="32"/>
      <c r="K8" s="32"/>
      <c r="L8" s="32"/>
      <c r="M8" s="32"/>
      <c r="N8" s="32"/>
      <c r="O8" s="32"/>
      <c r="P8" s="32"/>
      <c r="Q8" s="32"/>
      <c r="R8" s="32"/>
      <c r="S8" s="32"/>
      <c r="T8" s="32"/>
    </row>
    <row r="10" spans="1:20" x14ac:dyDescent="0.4">
      <c r="A10" s="76"/>
    </row>
  </sheetData>
  <mergeCells count="2">
    <mergeCell ref="A1:I1"/>
    <mergeCell ref="K1:R1"/>
  </mergeCells>
  <pageMargins left="0.7" right="0.7" top="0.75" bottom="0.75" header="0.3" footer="0.3"/>
  <pageSetup orientation="portrait" horizontalDpi="0" verticalDpi="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F7E-6D65-48CA-B6BD-CE1230B8CDD4}">
  <dimension ref="A1:D4"/>
  <sheetViews>
    <sheetView workbookViewId="0">
      <selection activeCell="B1" sqref="B1:B1048576"/>
    </sheetView>
  </sheetViews>
  <sheetFormatPr defaultRowHeight="12.3" x14ac:dyDescent="0.4"/>
  <cols>
    <col min="1" max="1" width="16.609375" bestFit="1" customWidth="1"/>
  </cols>
  <sheetData>
    <row r="1" spans="1:4" x14ac:dyDescent="0.4">
      <c r="A1" t="s">
        <v>266</v>
      </c>
    </row>
    <row r="2" spans="1:4" x14ac:dyDescent="0.4">
      <c r="A2" t="s">
        <v>259</v>
      </c>
      <c r="B2" t="s">
        <v>260</v>
      </c>
      <c r="C2" t="s">
        <v>261</v>
      </c>
      <c r="D2" t="s">
        <v>262</v>
      </c>
    </row>
    <row r="3" spans="1:4" x14ac:dyDescent="0.4">
      <c r="A3" t="s">
        <v>263</v>
      </c>
      <c r="B3" t="s">
        <v>264</v>
      </c>
      <c r="C3" s="77">
        <v>0.05</v>
      </c>
      <c r="D3" t="s">
        <v>265</v>
      </c>
    </row>
    <row r="4" spans="1:4" x14ac:dyDescent="0.4">
      <c r="A4" t="s">
        <v>157</v>
      </c>
      <c r="B4" t="s">
        <v>122</v>
      </c>
      <c r="C4" s="77">
        <v>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DC047-58C7-4B2C-ABD8-6CBA156EBBDC}">
  <dimension ref="A2:F6"/>
  <sheetViews>
    <sheetView workbookViewId="0">
      <selection activeCell="C2" sqref="C2"/>
    </sheetView>
  </sheetViews>
  <sheetFormatPr defaultRowHeight="12.3" x14ac:dyDescent="0.4"/>
  <cols>
    <col min="1" max="1" width="18.609375" bestFit="1" customWidth="1"/>
    <col min="3" max="3" width="14.109375" bestFit="1" customWidth="1"/>
  </cols>
  <sheetData>
    <row r="2" spans="1:6" x14ac:dyDescent="0.4">
      <c r="A2" t="s">
        <v>126</v>
      </c>
      <c r="B2" t="s">
        <v>269</v>
      </c>
      <c r="C2" t="s">
        <v>272</v>
      </c>
      <c r="D2" t="s">
        <v>270</v>
      </c>
      <c r="E2" t="s">
        <v>131</v>
      </c>
      <c r="F2" t="s">
        <v>271</v>
      </c>
    </row>
    <row r="3" spans="1:6" x14ac:dyDescent="0.4">
      <c r="A3" t="s">
        <v>267</v>
      </c>
      <c r="D3">
        <v>48.99</v>
      </c>
    </row>
    <row r="4" spans="1:6" x14ac:dyDescent="0.4">
      <c r="A4" t="s">
        <v>127</v>
      </c>
    </row>
    <row r="5" spans="1:6" x14ac:dyDescent="0.4">
      <c r="A5" t="s">
        <v>128</v>
      </c>
    </row>
    <row r="6" spans="1:6" x14ac:dyDescent="0.4">
      <c r="A6" t="s">
        <v>268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B30F2-6648-4D1F-B438-880B95EA5AD0}">
  <dimension ref="A1:T8"/>
  <sheetViews>
    <sheetView topLeftCell="D1" zoomScale="70" zoomScaleNormal="70" workbookViewId="0">
      <selection activeCell="L1" sqref="L1:O13"/>
    </sheetView>
  </sheetViews>
  <sheetFormatPr defaultColWidth="13.5546875" defaultRowHeight="12.3" x14ac:dyDescent="0.4"/>
  <cols>
    <col min="1" max="1" width="13.5546875" style="31"/>
    <col min="2" max="2" width="15.109375" style="31" customWidth="1"/>
    <col min="3" max="3" width="13.5546875" style="31"/>
    <col min="4" max="4" width="15.77734375" style="31" customWidth="1"/>
    <col min="5" max="16384" width="13.5546875" style="31"/>
  </cols>
  <sheetData>
    <row r="1" spans="1:20" x14ac:dyDescent="0.4">
      <c r="A1" s="86" t="s">
        <v>170</v>
      </c>
      <c r="B1" s="86"/>
      <c r="C1" s="86"/>
      <c r="D1" s="86"/>
      <c r="E1" s="86"/>
      <c r="F1" s="86"/>
      <c r="G1" s="86"/>
      <c r="H1" s="86"/>
      <c r="I1" s="86"/>
      <c r="J1" s="86"/>
      <c r="P1" s="30"/>
      <c r="Q1" s="30"/>
      <c r="R1" s="30"/>
      <c r="S1" s="30"/>
      <c r="T1" s="30"/>
    </row>
    <row r="2" spans="1:20" ht="51.3" customHeight="1" x14ac:dyDescent="0.4">
      <c r="A2" s="40" t="s">
        <v>98</v>
      </c>
      <c r="B2" s="40" t="s">
        <v>99</v>
      </c>
      <c r="C2" s="40" t="s">
        <v>136</v>
      </c>
      <c r="D2" s="40" t="s">
        <v>153</v>
      </c>
      <c r="E2" s="40" t="s">
        <v>154</v>
      </c>
      <c r="F2" s="40" t="s">
        <v>160</v>
      </c>
      <c r="G2" s="40" t="s">
        <v>143</v>
      </c>
      <c r="H2" s="40" t="s">
        <v>156</v>
      </c>
      <c r="I2" s="40" t="s">
        <v>166</v>
      </c>
      <c r="J2" s="40" t="s">
        <v>135</v>
      </c>
    </row>
    <row r="3" spans="1:20" ht="61.5" x14ac:dyDescent="0.4">
      <c r="A3" s="39">
        <v>11449</v>
      </c>
      <c r="B3" s="39">
        <v>43625</v>
      </c>
      <c r="C3" s="35" t="s">
        <v>149</v>
      </c>
      <c r="D3" s="35" t="s">
        <v>69</v>
      </c>
      <c r="E3" s="35" t="s">
        <v>155</v>
      </c>
      <c r="F3" s="35" t="s">
        <v>162</v>
      </c>
      <c r="G3" s="35" t="s">
        <v>167</v>
      </c>
      <c r="H3" s="35" t="s">
        <v>168</v>
      </c>
      <c r="I3" s="35"/>
      <c r="J3" s="35"/>
    </row>
    <row r="4" spans="1:20" ht="49.2" x14ac:dyDescent="0.4">
      <c r="A4" s="39">
        <v>43609</v>
      </c>
      <c r="B4" s="39">
        <v>43612</v>
      </c>
      <c r="C4" s="35" t="s">
        <v>137</v>
      </c>
      <c r="D4" s="35" t="s">
        <v>69</v>
      </c>
      <c r="E4" s="35" t="s">
        <v>161</v>
      </c>
      <c r="F4" s="35" t="s">
        <v>163</v>
      </c>
      <c r="G4" s="35" t="s">
        <v>169</v>
      </c>
      <c r="H4" s="35"/>
      <c r="I4" s="35"/>
      <c r="J4" s="35"/>
    </row>
    <row r="5" spans="1:20" ht="49.2" x14ac:dyDescent="0.4">
      <c r="A5" s="39">
        <v>43609</v>
      </c>
      <c r="B5" s="39">
        <v>43612</v>
      </c>
      <c r="C5" s="39" t="s">
        <v>137</v>
      </c>
      <c r="D5" s="35" t="s">
        <v>157</v>
      </c>
      <c r="E5" s="35" t="s">
        <v>155</v>
      </c>
      <c r="F5" s="35"/>
      <c r="G5" s="35" t="s">
        <v>158</v>
      </c>
      <c r="H5" s="35" t="s">
        <v>159</v>
      </c>
      <c r="I5" s="35"/>
      <c r="J5" s="35"/>
    </row>
    <row r="6" spans="1:20" ht="24.6" x14ac:dyDescent="0.4">
      <c r="A6" s="39">
        <v>43610</v>
      </c>
      <c r="B6" s="39"/>
      <c r="C6" s="39" t="s">
        <v>150</v>
      </c>
      <c r="D6" s="35" t="s">
        <v>164</v>
      </c>
      <c r="E6" s="35"/>
      <c r="F6" s="35"/>
      <c r="G6" s="35"/>
      <c r="H6" s="35"/>
      <c r="I6" s="35"/>
      <c r="J6" s="35"/>
    </row>
    <row r="7" spans="1:20" ht="36.9" x14ac:dyDescent="0.4">
      <c r="A7" s="39">
        <v>43623</v>
      </c>
      <c r="B7" s="35"/>
      <c r="C7" s="35" t="s">
        <v>138</v>
      </c>
      <c r="D7" s="35" t="s">
        <v>165</v>
      </c>
      <c r="E7" s="35"/>
      <c r="F7" s="35"/>
      <c r="G7" s="35"/>
      <c r="H7" s="35"/>
      <c r="I7" s="35"/>
      <c r="J7" s="35"/>
    </row>
    <row r="8" spans="1:20" ht="24.6" x14ac:dyDescent="0.4">
      <c r="A8" s="35"/>
      <c r="B8" s="35"/>
      <c r="C8" s="35" t="s">
        <v>139</v>
      </c>
      <c r="D8" s="35"/>
      <c r="E8" s="35"/>
      <c r="F8" s="35"/>
      <c r="G8" s="35"/>
      <c r="H8" s="35"/>
      <c r="I8" s="35"/>
      <c r="J8" s="35"/>
    </row>
  </sheetData>
  <mergeCells count="1">
    <mergeCell ref="A1:J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8EF79-B310-4DA5-A6B0-1E100A109E3A}">
  <dimension ref="A1:E13"/>
  <sheetViews>
    <sheetView workbookViewId="0">
      <selection sqref="A1:E13"/>
    </sheetView>
  </sheetViews>
  <sheetFormatPr defaultRowHeight="12.3" x14ac:dyDescent="0.4"/>
  <cols>
    <col min="1" max="1" width="8.71875" bestFit="1" customWidth="1"/>
    <col min="2" max="2" width="7.38671875" bestFit="1" customWidth="1"/>
    <col min="3" max="3" width="9.33203125" customWidth="1"/>
    <col min="4" max="4" width="15.83203125" customWidth="1"/>
  </cols>
  <sheetData>
    <row r="1" spans="1:5" x14ac:dyDescent="0.4">
      <c r="A1" s="89" t="s">
        <v>171</v>
      </c>
      <c r="B1" s="89"/>
      <c r="C1" s="89"/>
      <c r="D1" s="89"/>
      <c r="E1" s="89"/>
    </row>
    <row r="2" spans="1:5" x14ac:dyDescent="0.4">
      <c r="A2" s="40" t="s">
        <v>177</v>
      </c>
      <c r="B2" s="40" t="s">
        <v>178</v>
      </c>
      <c r="C2" s="40" t="s">
        <v>188</v>
      </c>
      <c r="D2" s="40" t="s">
        <v>179</v>
      </c>
      <c r="E2" s="40" t="s">
        <v>189</v>
      </c>
    </row>
    <row r="3" spans="1:5" x14ac:dyDescent="0.4">
      <c r="A3" s="35" t="s">
        <v>106</v>
      </c>
      <c r="B3" s="35" t="s">
        <v>180</v>
      </c>
      <c r="C3" s="35"/>
      <c r="D3" s="35"/>
      <c r="E3" s="32"/>
    </row>
    <row r="4" spans="1:5" ht="24.6" x14ac:dyDescent="0.4">
      <c r="A4" s="35" t="s">
        <v>108</v>
      </c>
      <c r="B4" s="35" t="s">
        <v>180</v>
      </c>
      <c r="C4" s="35"/>
      <c r="D4" s="35"/>
      <c r="E4" s="32"/>
    </row>
    <row r="5" spans="1:5" x14ac:dyDescent="0.4">
      <c r="A5" s="35" t="s">
        <v>172</v>
      </c>
      <c r="B5" s="35" t="s">
        <v>180</v>
      </c>
      <c r="C5" s="35"/>
      <c r="D5" s="35"/>
      <c r="E5" s="32"/>
    </row>
    <row r="6" spans="1:5" x14ac:dyDescent="0.4">
      <c r="A6" s="35" t="s">
        <v>107</v>
      </c>
      <c r="B6" s="35" t="s">
        <v>180</v>
      </c>
      <c r="C6" s="35"/>
      <c r="D6" s="35"/>
      <c r="E6" s="32"/>
    </row>
    <row r="7" spans="1:5" ht="24.6" x14ac:dyDescent="0.4">
      <c r="A7" s="35" t="s">
        <v>173</v>
      </c>
      <c r="B7" s="35" t="s">
        <v>180</v>
      </c>
      <c r="C7" s="35"/>
      <c r="D7" s="35"/>
      <c r="E7" s="32"/>
    </row>
    <row r="8" spans="1:5" x14ac:dyDescent="0.4">
      <c r="A8" s="35" t="s">
        <v>174</v>
      </c>
      <c r="B8" s="35" t="s">
        <v>180</v>
      </c>
      <c r="C8" s="35"/>
      <c r="D8" s="35"/>
      <c r="E8" s="32"/>
    </row>
    <row r="9" spans="1:5" ht="36.9" x14ac:dyDescent="0.4">
      <c r="A9" s="35" t="s">
        <v>183</v>
      </c>
      <c r="B9" s="35" t="s">
        <v>187</v>
      </c>
      <c r="C9" s="35"/>
      <c r="D9" s="35"/>
      <c r="E9" s="32"/>
    </row>
    <row r="10" spans="1:5" ht="24.6" x14ac:dyDescent="0.4">
      <c r="A10" s="35" t="s">
        <v>182</v>
      </c>
      <c r="B10" s="35" t="s">
        <v>184</v>
      </c>
      <c r="C10" s="35"/>
      <c r="D10" s="35"/>
      <c r="E10" s="32"/>
    </row>
    <row r="11" spans="1:5" ht="24.6" x14ac:dyDescent="0.4">
      <c r="A11" s="35" t="s">
        <v>175</v>
      </c>
      <c r="B11" s="35" t="s">
        <v>185</v>
      </c>
      <c r="C11" s="35"/>
      <c r="D11" s="35"/>
      <c r="E11" s="32"/>
    </row>
    <row r="12" spans="1:5" ht="36.9" x14ac:dyDescent="0.4">
      <c r="A12" s="35" t="s">
        <v>176</v>
      </c>
      <c r="B12" s="35" t="s">
        <v>186</v>
      </c>
      <c r="C12" s="35"/>
      <c r="D12" s="35"/>
      <c r="E12" s="32"/>
    </row>
    <row r="13" spans="1:5" x14ac:dyDescent="0.4">
      <c r="A13" s="35" t="s">
        <v>181</v>
      </c>
      <c r="B13" s="35"/>
      <c r="C13" s="35"/>
      <c r="D13" s="35"/>
      <c r="E13" s="32"/>
    </row>
  </sheetData>
  <mergeCells count="1">
    <mergeCell ref="A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9BEB-9C7D-45F6-A86E-8CC16403C574}">
  <dimension ref="A1:I7"/>
  <sheetViews>
    <sheetView workbookViewId="0">
      <selection activeCell="G6" sqref="G6"/>
    </sheetView>
  </sheetViews>
  <sheetFormatPr defaultRowHeight="12.3" x14ac:dyDescent="0.4"/>
  <cols>
    <col min="1" max="1" width="14.33203125" bestFit="1" customWidth="1"/>
  </cols>
  <sheetData>
    <row r="1" spans="1:9" x14ac:dyDescent="0.4">
      <c r="A1" s="83" t="s">
        <v>114</v>
      </c>
      <c r="B1" s="83"/>
      <c r="C1" s="83"/>
      <c r="D1" s="83"/>
      <c r="E1" s="83"/>
      <c r="F1" s="83"/>
    </row>
    <row r="2" spans="1:9" ht="24.6" x14ac:dyDescent="0.4">
      <c r="A2" s="25" t="s">
        <v>104</v>
      </c>
      <c r="B2" s="25" t="s">
        <v>110</v>
      </c>
      <c r="C2" s="25" t="s">
        <v>111</v>
      </c>
      <c r="D2" s="31" t="s">
        <v>112</v>
      </c>
      <c r="E2" s="31" t="s">
        <v>115</v>
      </c>
      <c r="F2" s="25" t="s">
        <v>113</v>
      </c>
      <c r="G2" s="61" t="s">
        <v>226</v>
      </c>
      <c r="H2" s="61" t="s">
        <v>227</v>
      </c>
      <c r="I2" s="62" t="s">
        <v>228</v>
      </c>
    </row>
    <row r="3" spans="1:9" x14ac:dyDescent="0.4">
      <c r="A3" t="s">
        <v>105</v>
      </c>
      <c r="B3">
        <v>500</v>
      </c>
      <c r="G3" s="26" t="s">
        <v>229</v>
      </c>
      <c r="H3" s="26"/>
    </row>
    <row r="4" spans="1:9" x14ac:dyDescent="0.4">
      <c r="A4" t="s">
        <v>106</v>
      </c>
      <c r="B4">
        <v>500</v>
      </c>
      <c r="G4" t="s">
        <v>245</v>
      </c>
      <c r="I4" s="67">
        <v>43550</v>
      </c>
    </row>
    <row r="5" spans="1:9" x14ac:dyDescent="0.4">
      <c r="A5" t="s">
        <v>107</v>
      </c>
      <c r="B5">
        <v>500</v>
      </c>
    </row>
    <row r="6" spans="1:9" x14ac:dyDescent="0.4">
      <c r="A6" t="s">
        <v>108</v>
      </c>
      <c r="B6">
        <v>500</v>
      </c>
    </row>
    <row r="7" spans="1:9" x14ac:dyDescent="0.4">
      <c r="A7" t="s">
        <v>109</v>
      </c>
      <c r="B7">
        <v>1000</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24322-37A9-4C2B-8337-53F139E9C710}">
  <dimension ref="A1:F15"/>
  <sheetViews>
    <sheetView workbookViewId="0">
      <selection activeCell="D20" sqref="D20"/>
    </sheetView>
  </sheetViews>
  <sheetFormatPr defaultRowHeight="12.3" x14ac:dyDescent="0.4"/>
  <cols>
    <col min="1" max="1" width="12.0546875" customWidth="1"/>
    <col min="2" max="2" width="13.21875" customWidth="1"/>
    <col min="5" max="5" width="9.77734375" customWidth="1"/>
    <col min="6" max="6" width="12.21875" bestFit="1" customWidth="1"/>
  </cols>
  <sheetData>
    <row r="1" spans="1:6" ht="12.6" thickBot="1" x14ac:dyDescent="0.45">
      <c r="A1" s="83" t="s">
        <v>119</v>
      </c>
      <c r="B1" s="83"/>
      <c r="C1" s="83"/>
      <c r="D1" s="83"/>
      <c r="E1" s="83"/>
      <c r="F1" s="83"/>
    </row>
    <row r="2" spans="1:6" ht="27" x14ac:dyDescent="0.4">
      <c r="A2" s="43" t="s">
        <v>194</v>
      </c>
      <c r="B2" s="47" t="s">
        <v>200</v>
      </c>
      <c r="C2" s="47" t="s">
        <v>205</v>
      </c>
      <c r="D2" s="47" t="s">
        <v>206</v>
      </c>
      <c r="E2" s="47" t="s">
        <v>208</v>
      </c>
    </row>
    <row r="3" spans="1:6" ht="27" x14ac:dyDescent="0.4">
      <c r="A3" s="44"/>
      <c r="B3" s="48"/>
      <c r="C3" s="49" t="s">
        <v>60</v>
      </c>
      <c r="D3" s="48" t="s">
        <v>207</v>
      </c>
      <c r="E3" s="49"/>
    </row>
    <row r="4" spans="1:6" ht="13.2" x14ac:dyDescent="0.4">
      <c r="A4" s="45"/>
      <c r="B4" s="49"/>
      <c r="C4" s="51"/>
      <c r="D4" s="49" t="s">
        <v>60</v>
      </c>
      <c r="E4" s="49" t="s">
        <v>59</v>
      </c>
    </row>
    <row r="5" spans="1:6" ht="26.4" x14ac:dyDescent="0.4">
      <c r="A5" s="45" t="s">
        <v>195</v>
      </c>
      <c r="B5" s="49" t="s">
        <v>201</v>
      </c>
      <c r="C5" s="51">
        <v>1000</v>
      </c>
      <c r="D5" s="53">
        <v>6.85</v>
      </c>
      <c r="E5" s="53">
        <v>6850</v>
      </c>
    </row>
    <row r="6" spans="1:6" ht="26.4" x14ac:dyDescent="0.4">
      <c r="A6" s="45" t="s">
        <v>196</v>
      </c>
      <c r="B6" s="49" t="s">
        <v>202</v>
      </c>
      <c r="C6" s="51">
        <v>1000</v>
      </c>
      <c r="D6" s="53">
        <v>3</v>
      </c>
      <c r="E6" s="53">
        <v>3000</v>
      </c>
    </row>
    <row r="7" spans="1:6" ht="26.4" x14ac:dyDescent="0.4">
      <c r="A7" s="45" t="s">
        <v>197</v>
      </c>
      <c r="B7" s="49" t="s">
        <v>203</v>
      </c>
      <c r="C7" s="51">
        <v>1000</v>
      </c>
      <c r="D7" s="53">
        <v>1.79</v>
      </c>
      <c r="E7" s="53">
        <v>1790</v>
      </c>
    </row>
    <row r="8" spans="1:6" ht="26.4" x14ac:dyDescent="0.4">
      <c r="A8" s="45" t="s">
        <v>198</v>
      </c>
      <c r="B8" s="49" t="s">
        <v>202</v>
      </c>
      <c r="C8" s="51">
        <v>50</v>
      </c>
      <c r="D8" s="53">
        <v>3</v>
      </c>
      <c r="E8" s="53">
        <v>150</v>
      </c>
    </row>
    <row r="9" spans="1:6" ht="26.7" thickBot="1" x14ac:dyDescent="0.45">
      <c r="A9" s="54" t="s">
        <v>199</v>
      </c>
      <c r="B9" s="52" t="s">
        <v>204</v>
      </c>
      <c r="C9" s="55">
        <v>20</v>
      </c>
      <c r="D9" s="56">
        <v>1.79</v>
      </c>
      <c r="E9" s="56">
        <v>35.799999999999997</v>
      </c>
    </row>
    <row r="10" spans="1:6" ht="13.8" thickBot="1" x14ac:dyDescent="0.45">
      <c r="A10" s="46"/>
      <c r="B10" s="50"/>
      <c r="C10" s="52"/>
      <c r="D10" s="50"/>
      <c r="E10" s="50"/>
    </row>
    <row r="11" spans="1:6" ht="26.7" thickBot="1" x14ac:dyDescent="0.45">
      <c r="A11" s="57" t="s">
        <v>210</v>
      </c>
      <c r="B11" s="90" t="s">
        <v>209</v>
      </c>
      <c r="C11" s="91"/>
      <c r="D11" s="91"/>
      <c r="E11" s="91"/>
    </row>
    <row r="12" spans="1:6" ht="12.3" customHeight="1" x14ac:dyDescent="0.4">
      <c r="A12" s="92" t="s">
        <v>211</v>
      </c>
      <c r="B12" s="92"/>
      <c r="E12" s="59">
        <v>285</v>
      </c>
    </row>
    <row r="13" spans="1:6" ht="26.4" x14ac:dyDescent="0.4">
      <c r="A13" s="58" t="s">
        <v>212</v>
      </c>
      <c r="E13" s="59">
        <v>3600</v>
      </c>
    </row>
    <row r="14" spans="1:6" ht="13.2" x14ac:dyDescent="0.4">
      <c r="A14" s="60" t="s">
        <v>213</v>
      </c>
      <c r="D14">
        <v>250</v>
      </c>
    </row>
    <row r="15" spans="1:6" x14ac:dyDescent="0.4">
      <c r="A15" t="s">
        <v>214</v>
      </c>
      <c r="D15">
        <v>3387</v>
      </c>
    </row>
  </sheetData>
  <mergeCells count="3">
    <mergeCell ref="A1:F1"/>
    <mergeCell ref="B11:E11"/>
    <mergeCell ref="A12:B12"/>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Startup Expenses</vt:lpstr>
      <vt:lpstr>Revenue Estimate</vt:lpstr>
      <vt:lpstr>Event Schedule</vt:lpstr>
      <vt:lpstr>Product Cost</vt:lpstr>
      <vt:lpstr>Sheet1</vt:lpstr>
      <vt:lpstr>Sheet2</vt:lpstr>
      <vt:lpstr>Sheet3</vt:lpstr>
      <vt:lpstr>Product Sales Cost</vt:lpstr>
      <vt:lpstr>Partnerships</vt:lpstr>
      <vt:lpstr>Sales data</vt:lpstr>
      <vt:lpstr>Marketing Schedule</vt:lpstr>
      <vt:lpstr>Influencer</vt:lpstr>
      <vt:lpstr>Sales Funnel</vt:lpstr>
      <vt:lpstr>MFG &amp; Import Costs</vt:lpstr>
      <vt:lpstr>'Startup Expenses'!Print_Area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Tom N</dc:creator>
  <cp:lastModifiedBy>Tom N</cp:lastModifiedBy>
  <dcterms:created xsi:type="dcterms:W3CDTF">2018-04-28T05:33:06Z</dcterms:created>
  <dcterms:modified xsi:type="dcterms:W3CDTF">2019-05-02T03:04:11Z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v-audrs@microsoft.com</vt:lpwstr>
  </property>
  <property fmtid="{D5CDD505-2E9C-101B-9397-08002B2CF9AE}" pid="5" name="MSIP_Label_f42aa342-8706-4288-bd11-ebb85995028c_SetDate">
    <vt:lpwstr>2018-04-28T05:33:10.8368002Z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